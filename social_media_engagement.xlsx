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27826\Documents\School\Portfolio\"/>
    </mc:Choice>
  </mc:AlternateContent>
  <bookViews>
    <workbookView xWindow="0" yWindow="0" windowWidth="20460" windowHeight="8280" tabRatio="500" activeTab="3"/>
  </bookViews>
  <sheets>
    <sheet name="social_media_engagement1" sheetId="1" r:id="rId1"/>
    <sheet name="Worksheet" sheetId="2" r:id="rId2"/>
    <sheet name="Pivot Table" sheetId="3" r:id="rId3"/>
    <sheet name="Dashboard" sheetId="4" r:id="rId4"/>
  </sheets>
  <definedNames>
    <definedName name="_xlnm._FilterDatabase" localSheetId="1" hidden="1">Worksheet!$A$1:$K$101</definedName>
    <definedName name="Slicer_Platform">#N/A</definedName>
    <definedName name="Slicer_Post_Date">#N/A</definedName>
  </definedNames>
  <calcPr calcId="152511" calcMode="manual"/>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K101" i="2" l="1"/>
  <c r="K100" i="2"/>
  <c r="K99" i="2"/>
  <c r="K98" i="2"/>
  <c r="K97" i="2"/>
  <c r="K96" i="2"/>
  <c r="K95" i="2"/>
  <c r="K94" i="2"/>
  <c r="K93" i="2"/>
  <c r="K92" i="2"/>
  <c r="K91" i="2"/>
  <c r="K90" i="2"/>
  <c r="K89" i="2"/>
  <c r="K88" i="2"/>
  <c r="K87" i="2"/>
  <c r="K86" i="2"/>
  <c r="K85" i="2"/>
  <c r="K84" i="2"/>
  <c r="K83" i="2"/>
  <c r="K82" i="2"/>
  <c r="K81" i="2"/>
  <c r="K80" i="2"/>
  <c r="K79" i="2"/>
  <c r="K78" i="2"/>
  <c r="K77" i="2"/>
  <c r="K76" i="2"/>
  <c r="K75" i="2"/>
  <c r="K74" i="2"/>
  <c r="K73" i="2"/>
  <c r="K72" i="2"/>
  <c r="K71" i="2"/>
  <c r="K70" i="2"/>
  <c r="K69" i="2"/>
  <c r="K68" i="2"/>
  <c r="K67" i="2"/>
  <c r="K66" i="2"/>
  <c r="K65" i="2"/>
  <c r="K64" i="2"/>
  <c r="K63" i="2"/>
  <c r="K62" i="2"/>
  <c r="K61" i="2"/>
  <c r="K60" i="2"/>
  <c r="K59" i="2"/>
  <c r="K58" i="2"/>
  <c r="K57" i="2"/>
  <c r="K56" i="2"/>
  <c r="K55" i="2"/>
  <c r="K54" i="2"/>
  <c r="K53" i="2"/>
  <c r="K52" i="2"/>
  <c r="K51" i="2"/>
  <c r="K50" i="2"/>
  <c r="K49" i="2"/>
  <c r="K48" i="2"/>
  <c r="K47" i="2"/>
  <c r="K46" i="2"/>
  <c r="K45" i="2"/>
  <c r="K44" i="2"/>
  <c r="K43" i="2"/>
  <c r="K42" i="2"/>
  <c r="K41" i="2"/>
  <c r="K40" i="2"/>
  <c r="K39" i="2"/>
  <c r="K38" i="2"/>
  <c r="K37" i="2"/>
  <c r="K36" i="2"/>
  <c r="K35" i="2"/>
  <c r="K34" i="2"/>
  <c r="K33" i="2"/>
  <c r="K32" i="2"/>
  <c r="K31" i="2"/>
  <c r="K30" i="2"/>
  <c r="K29" i="2"/>
  <c r="K28" i="2"/>
  <c r="K27" i="2"/>
  <c r="K26" i="2"/>
  <c r="K25" i="2"/>
  <c r="K24" i="2"/>
  <c r="K23" i="2"/>
  <c r="K22" i="2"/>
  <c r="K21" i="2"/>
  <c r="K20" i="2"/>
  <c r="K19" i="2"/>
  <c r="K18" i="2"/>
  <c r="K17" i="2"/>
  <c r="K16" i="2"/>
  <c r="K15" i="2"/>
  <c r="K14" i="2"/>
  <c r="K13" i="2"/>
  <c r="K12" i="2"/>
  <c r="K11" i="2"/>
  <c r="K10" i="2"/>
  <c r="K9" i="2"/>
  <c r="K8" i="2"/>
  <c r="K7" i="2"/>
  <c r="K6" i="2"/>
  <c r="K5" i="2"/>
  <c r="K4" i="2"/>
  <c r="K3" i="2"/>
  <c r="K2" i="2"/>
</calcChain>
</file>

<file path=xl/sharedStrings.xml><?xml version="1.0" encoding="utf-8"?>
<sst xmlns="http://schemas.openxmlformats.org/spreadsheetml/2006/main" count="965" uniqueCount="168">
  <si>
    <t>post_id</t>
  </si>
  <si>
    <t>platform</t>
  </si>
  <si>
    <t>post_type</t>
  </si>
  <si>
    <t>post_time</t>
  </si>
  <si>
    <t>likes</t>
  </si>
  <si>
    <t>comments</t>
  </si>
  <si>
    <t>shares</t>
  </si>
  <si>
    <t>post_day</t>
  </si>
  <si>
    <t>sentiment_score</t>
  </si>
  <si>
    <t>Facebook</t>
  </si>
  <si>
    <t>image</t>
  </si>
  <si>
    <t>8/17/2023 14:45</t>
  </si>
  <si>
    <t>Thursday</t>
  </si>
  <si>
    <t>positive</t>
  </si>
  <si>
    <t>carousel</t>
  </si>
  <si>
    <t>5/14/2023 0:45</t>
  </si>
  <si>
    <t>Sunday</t>
  </si>
  <si>
    <t>neutral</t>
  </si>
  <si>
    <t>Instagram</t>
  </si>
  <si>
    <t>poll</t>
  </si>
  <si>
    <t>2/21/2023 16:15</t>
  </si>
  <si>
    <t>Tuesday</t>
  </si>
  <si>
    <t>negative</t>
  </si>
  <si>
    <t>Twitter</t>
  </si>
  <si>
    <t>11/16/2023 0:45</t>
  </si>
  <si>
    <t>video</t>
  </si>
  <si>
    <t>5/23/2023 0:30</t>
  </si>
  <si>
    <t>5/5/2023 20:00</t>
  </si>
  <si>
    <t>Friday</t>
  </si>
  <si>
    <t>2/26/2023 11:45</t>
  </si>
  <si>
    <t>text</t>
  </si>
  <si>
    <t>10/28/2023 19:30</t>
  </si>
  <si>
    <t>Saturday</t>
  </si>
  <si>
    <t>5/2/2023 6:15</t>
  </si>
  <si>
    <t>5/11/2023 11:00</t>
  </si>
  <si>
    <t>12/8/2023 2:15</t>
  </si>
  <si>
    <t>6/15/2023 3:15</t>
  </si>
  <si>
    <t>11/11/2023 15:45</t>
  </si>
  <si>
    <t>9/30/2023 10:30</t>
  </si>
  <si>
    <t>1/9/2023 20:00</t>
  </si>
  <si>
    <t>Monday</t>
  </si>
  <si>
    <t>2/10/2023 13:00</t>
  </si>
  <si>
    <t>7/5/2023 5:15</t>
  </si>
  <si>
    <t>Wednesday</t>
  </si>
  <si>
    <t>7/23/2023 5:45</t>
  </si>
  <si>
    <t>11/20/2023 2:00</t>
  </si>
  <si>
    <t>2/2/2023 16:00</t>
  </si>
  <si>
    <t>1/30/2023 13:30</t>
  </si>
  <si>
    <t>10/2/2023 12:15</t>
  </si>
  <si>
    <t>1/1/2023 20:00</t>
  </si>
  <si>
    <t>5/17/2023 0:15</t>
  </si>
  <si>
    <t>10/5/2023 6:30</t>
  </si>
  <si>
    <t>10/6/2023 10:00</t>
  </si>
  <si>
    <t>3/1/2023 8:00</t>
  </si>
  <si>
    <t>1/7/2023 10:30</t>
  </si>
  <si>
    <t>2/3/2023 0:30</t>
  </si>
  <si>
    <t>9/10/2023 13:45</t>
  </si>
  <si>
    <t>7/1/2023 14:45</t>
  </si>
  <si>
    <t>9/27/2023 19:00</t>
  </si>
  <si>
    <t>2/9/2023 15:30</t>
  </si>
  <si>
    <t>6/6/2023 19:30</t>
  </si>
  <si>
    <t>4/8/2023 19:15</t>
  </si>
  <si>
    <t>5/11/2023 0:30</t>
  </si>
  <si>
    <t>5/2/2023 0:30</t>
  </si>
  <si>
    <t>1/1/2023 6:00</t>
  </si>
  <si>
    <t>8/4/2023 12:45</t>
  </si>
  <si>
    <t>12/27/2023 11:30</t>
  </si>
  <si>
    <t>11/23/2023 2:00</t>
  </si>
  <si>
    <t>3/31/2023 16:00</t>
  </si>
  <si>
    <t>7/6/2023 8:00</t>
  </si>
  <si>
    <t>12/1/2023 10:00</t>
  </si>
  <si>
    <t>5/16/2023 22:15</t>
  </si>
  <si>
    <t>8/8/2023 17:45</t>
  </si>
  <si>
    <t>3/22/2023 3:15</t>
  </si>
  <si>
    <t>4/17/2023 15:00</t>
  </si>
  <si>
    <t>7/12/2023 0:00</t>
  </si>
  <si>
    <t>2/14/2023 18:00</t>
  </si>
  <si>
    <t>7/14/2023 15:00</t>
  </si>
  <si>
    <t>11/12/2023 17:30</t>
  </si>
  <si>
    <t>1/21/2023 1:00</t>
  </si>
  <si>
    <t>10/2/2023 23:30</t>
  </si>
  <si>
    <t>3/13/2023 23:15</t>
  </si>
  <si>
    <t>7/13/2023 9:15</t>
  </si>
  <si>
    <t>12/27/2023 4:00</t>
  </si>
  <si>
    <t>12/24/2023 7:45</t>
  </si>
  <si>
    <t>5/19/2023 4:30</t>
  </si>
  <si>
    <t>12/31/2023 22:30</t>
  </si>
  <si>
    <t>1/27/2023 15:45</t>
  </si>
  <si>
    <t>5/15/2023 6:30</t>
  </si>
  <si>
    <t>4/19/2023 19:45</t>
  </si>
  <si>
    <t>9/20/2023 6:00</t>
  </si>
  <si>
    <t>1/3/2023 3:00</t>
  </si>
  <si>
    <t>4/23/2023 8:15</t>
  </si>
  <si>
    <t>12/28/2023 16:45</t>
  </si>
  <si>
    <t>10/14/2023 18:45</t>
  </si>
  <si>
    <t>6/12/2023 9:30</t>
  </si>
  <si>
    <t>4/10/2023 0:00</t>
  </si>
  <si>
    <t>5/5/2023 16:45</t>
  </si>
  <si>
    <t>7/18/2023 22:00</t>
  </si>
  <si>
    <t>4/14/2023 10:30</t>
  </si>
  <si>
    <t>7/26/2023 20:15</t>
  </si>
  <si>
    <t>7/27/2023 19:15</t>
  </si>
  <si>
    <t>7/5/2023 18:15</t>
  </si>
  <si>
    <t>1/19/2023 7:15</t>
  </si>
  <si>
    <t>12/13/2023 4:45</t>
  </si>
  <si>
    <t>6/25/2023 15:15</t>
  </si>
  <si>
    <t>1/4/2023 18:30</t>
  </si>
  <si>
    <t>11/19/2023 12:30</t>
  </si>
  <si>
    <t>12/6/2023 4:00</t>
  </si>
  <si>
    <t>10/3/2023 19:00</t>
  </si>
  <si>
    <t>7/6/2023 7:00</t>
  </si>
  <si>
    <t>11/25/2023 7:30</t>
  </si>
  <si>
    <t>5/23/2023 22:30</t>
  </si>
  <si>
    <t>5/3/2023 12:30</t>
  </si>
  <si>
    <t>5/3/2023 8:00</t>
  </si>
  <si>
    <t>3/19/2023 4:00</t>
  </si>
  <si>
    <t>9/15/2023 0:45</t>
  </si>
  <si>
    <t>2/23/2023 17:15</t>
  </si>
  <si>
    <t>5/7/2023 0:30</t>
  </si>
  <si>
    <t>11/27/2023 4:30</t>
  </si>
  <si>
    <t>3/7/2023 19:15</t>
  </si>
  <si>
    <t>7/12/2023 17:45</t>
  </si>
  <si>
    <t>10/27/2023 23:45</t>
  </si>
  <si>
    <t>8/5/2023 8:45</t>
  </si>
  <si>
    <t>12/29/2023 12:15</t>
  </si>
  <si>
    <t>6/6/2023 21:00</t>
  </si>
  <si>
    <t>Post ID</t>
  </si>
  <si>
    <t>Platform</t>
  </si>
  <si>
    <t>Post Time</t>
  </si>
  <si>
    <t>Likes</t>
  </si>
  <si>
    <t>Comments</t>
  </si>
  <si>
    <t>Shares</t>
  </si>
  <si>
    <t>Post Day</t>
  </si>
  <si>
    <t>Sentiment Score</t>
  </si>
  <si>
    <t>Post Type</t>
  </si>
  <si>
    <t>Image</t>
  </si>
  <si>
    <t>Carousel</t>
  </si>
  <si>
    <t>Poll</t>
  </si>
  <si>
    <t>Video</t>
  </si>
  <si>
    <t>Text</t>
  </si>
  <si>
    <t>Positive</t>
  </si>
  <si>
    <t>Neutral</t>
  </si>
  <si>
    <t>Negative</t>
  </si>
  <si>
    <t>Sentiment Star Rating</t>
  </si>
  <si>
    <t>Row Labels</t>
  </si>
  <si>
    <t>Sum of Comments</t>
  </si>
  <si>
    <t>Sum of Shares</t>
  </si>
  <si>
    <t>Grand Total</t>
  </si>
  <si>
    <t>Column Labels</t>
  </si>
  <si>
    <t xml:space="preserve">Post Date </t>
  </si>
  <si>
    <t>Jan</t>
  </si>
  <si>
    <t>Feb</t>
  </si>
  <si>
    <t>Mar</t>
  </si>
  <si>
    <t>Apr</t>
  </si>
  <si>
    <t>May</t>
  </si>
  <si>
    <t>Jun</t>
  </si>
  <si>
    <t>Jul</t>
  </si>
  <si>
    <t>Aug</t>
  </si>
  <si>
    <t>Sep</t>
  </si>
  <si>
    <t>Oct</t>
  </si>
  <si>
    <t>Nov</t>
  </si>
  <si>
    <t>Dec</t>
  </si>
  <si>
    <t>Number of Posts each Month</t>
  </si>
  <si>
    <t>Number of posts by Platform</t>
  </si>
  <si>
    <t>Average of Likes</t>
  </si>
  <si>
    <t>Average of Comments</t>
  </si>
  <si>
    <t>Sum of Likes</t>
  </si>
  <si>
    <t>Average of Shares</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</si>
</sst>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0"/>
      <name val="Arial"/>
      <family val="2"/>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8">
    <xf numFmtId="0" fontId="0" fillId="0" borderId="0" xfId="0"/>
    <xf numFmtId="49" fontId="0" fillId="0" borderId="0" xfId="0" applyNumberFormat="1" applyFont="1"/>
    <xf numFmtId="0" fontId="0" fillId="0" borderId="0" xfId="0" applyAlignment="1">
      <alignment horizontal="left" vertical="top"/>
    </xf>
    <xf numFmtId="20" fontId="0" fillId="0" borderId="0" xfId="0" applyNumberFormat="1" applyAlignment="1">
      <alignment horizontal="left" vertical="top"/>
    </xf>
    <xf numFmtId="0" fontId="0" fillId="0" borderId="0" xfId="0" applyAlignment="1">
      <alignment horizontal="left" vertical="center"/>
    </xf>
    <xf numFmtId="0" fontId="0" fillId="0" borderId="0" xfId="0" applyAlignment="1">
      <alignment horizontal="center" vertical="center"/>
    </xf>
    <xf numFmtId="0" fontId="0" fillId="0" borderId="0" xfId="0" applyAlignment="1">
      <alignment vertical="center"/>
    </xf>
    <xf numFmtId="49" fontId="0" fillId="0" borderId="0" xfId="0" applyNumberFormat="1" applyAlignment="1">
      <alignment horizontal="left" vertical="top"/>
    </xf>
    <xf numFmtId="14" fontId="0" fillId="0" borderId="0" xfId="0" applyNumberFormat="1" applyFont="1" applyAlignment="1">
      <alignment horizontal="left" vertical="top"/>
    </xf>
    <xf numFmtId="0" fontId="0" fillId="0" borderId="1" xfId="0" pivotButton="1" applyBorder="1"/>
    <xf numFmtId="0" fontId="0" fillId="0" borderId="1" xfId="0" applyBorder="1"/>
    <xf numFmtId="0" fontId="0" fillId="0" borderId="1" xfId="0" applyBorder="1" applyAlignment="1">
      <alignment horizontal="left"/>
    </xf>
    <xf numFmtId="0" fontId="0" fillId="0" borderId="1" xfId="0" applyNumberFormat="1" applyBorder="1"/>
    <xf numFmtId="14" fontId="0" fillId="0" borderId="1" xfId="0" applyNumberFormat="1" applyBorder="1"/>
    <xf numFmtId="1" fontId="0" fillId="0" borderId="1" xfId="0" pivotButton="1" applyNumberFormat="1" applyBorder="1"/>
    <xf numFmtId="1" fontId="0" fillId="0" borderId="1" xfId="0" applyNumberFormat="1" applyBorder="1"/>
    <xf numFmtId="1" fontId="0" fillId="0" borderId="1" xfId="0" applyNumberFormat="1" applyBorder="1" applyAlignment="1">
      <alignment horizontal="left"/>
    </xf>
    <xf numFmtId="0" fontId="0" fillId="2" borderId="0" xfId="0" applyFill="1"/>
  </cellXfs>
  <cellStyles count="1">
    <cellStyle name="Normal" xfId="0" builtinId="0"/>
  </cellStyles>
  <dxfs count="28">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numFmt numFmtId="1" formatCode="0"/>
    </dxf>
    <dxf>
      <numFmt numFmtId="1" formatCode="0"/>
    </dxf>
    <dxf>
      <numFmt numFmtId="1" formatCode="0"/>
    </dxf>
    <dxf>
      <numFmt numFmtId="1" formatCode="0"/>
    </dxf>
    <dxf>
      <numFmt numFmtId="1" formatCode="0"/>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ill>
        <patternFill>
          <bgColor theme="4" tint="0.59996337778862885"/>
        </patternFill>
      </fill>
    </dxf>
    <dxf>
      <fill>
        <patternFill>
          <bgColor rgb="FFFFFF00"/>
        </patternFill>
      </fill>
    </dxf>
    <dxf>
      <fill>
        <patternFill>
          <bgColor theme="6"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[social_media_engagement.xlsx]Pivot Table!PivotTable8</c:name>
    <c:fmtId val="9"/>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s>
    <c:plotArea>
      <c:layout/>
      <c:barChart>
        <c:barDir val="col"/>
        <c:grouping val="clustered"/>
        <c:varyColors val="0"/>
        <c:ser>
          <c:idx val="0"/>
          <c:order val="0"/>
          <c:tx>
            <c:strRef>
              <c:f>'Pivot Table'!$B$8:$B$9</c:f>
              <c:strCache>
                <c:ptCount val="1"/>
                <c:pt idx="0">
                  <c:v>Carousel</c:v>
                </c:pt>
              </c:strCache>
            </c:strRef>
          </c:tx>
          <c:spPr>
            <a:solidFill>
              <a:schemeClr val="accent1"/>
            </a:solidFill>
            <a:ln>
              <a:noFill/>
            </a:ln>
            <a:effectLst/>
          </c:spPr>
          <c:invertIfNegative val="0"/>
          <c:cat>
            <c:strRef>
              <c:f>'Pivot Table'!$A$10:$A$12</c:f>
              <c:strCache>
                <c:ptCount val="3"/>
                <c:pt idx="0">
                  <c:v>Facebook</c:v>
                </c:pt>
                <c:pt idx="1">
                  <c:v>Instagram</c:v>
                </c:pt>
                <c:pt idx="2">
                  <c:v>Twitter</c:v>
                </c:pt>
              </c:strCache>
            </c:strRef>
          </c:cat>
          <c:val>
            <c:numRef>
              <c:f>'Pivot Table'!$B$10:$B$12</c:f>
              <c:numCache>
                <c:formatCode>General</c:formatCode>
                <c:ptCount val="3"/>
                <c:pt idx="0">
                  <c:v>10</c:v>
                </c:pt>
                <c:pt idx="1">
                  <c:v>9</c:v>
                </c:pt>
                <c:pt idx="2">
                  <c:v>7</c:v>
                </c:pt>
              </c:numCache>
            </c:numRef>
          </c:val>
        </c:ser>
        <c:ser>
          <c:idx val="1"/>
          <c:order val="1"/>
          <c:tx>
            <c:strRef>
              <c:f>'Pivot Table'!$C$8:$C$9</c:f>
              <c:strCache>
                <c:ptCount val="1"/>
                <c:pt idx="0">
                  <c:v>Image</c:v>
                </c:pt>
              </c:strCache>
            </c:strRef>
          </c:tx>
          <c:spPr>
            <a:solidFill>
              <a:schemeClr val="accent2"/>
            </a:solidFill>
            <a:ln>
              <a:noFill/>
            </a:ln>
            <a:effectLst/>
          </c:spPr>
          <c:invertIfNegative val="0"/>
          <c:cat>
            <c:strRef>
              <c:f>'Pivot Table'!$A$10:$A$12</c:f>
              <c:strCache>
                <c:ptCount val="3"/>
                <c:pt idx="0">
                  <c:v>Facebook</c:v>
                </c:pt>
                <c:pt idx="1">
                  <c:v>Instagram</c:v>
                </c:pt>
                <c:pt idx="2">
                  <c:v>Twitter</c:v>
                </c:pt>
              </c:strCache>
            </c:strRef>
          </c:cat>
          <c:val>
            <c:numRef>
              <c:f>'Pivot Table'!$C$10:$C$12</c:f>
              <c:numCache>
                <c:formatCode>General</c:formatCode>
                <c:ptCount val="3"/>
                <c:pt idx="0">
                  <c:v>4</c:v>
                </c:pt>
                <c:pt idx="1">
                  <c:v>7</c:v>
                </c:pt>
                <c:pt idx="2">
                  <c:v>6</c:v>
                </c:pt>
              </c:numCache>
            </c:numRef>
          </c:val>
        </c:ser>
        <c:ser>
          <c:idx val="2"/>
          <c:order val="2"/>
          <c:tx>
            <c:strRef>
              <c:f>'Pivot Table'!$D$8:$D$9</c:f>
              <c:strCache>
                <c:ptCount val="1"/>
                <c:pt idx="0">
                  <c:v>Poll</c:v>
                </c:pt>
              </c:strCache>
            </c:strRef>
          </c:tx>
          <c:spPr>
            <a:solidFill>
              <a:schemeClr val="accent3"/>
            </a:solidFill>
            <a:ln>
              <a:noFill/>
            </a:ln>
            <a:effectLst/>
          </c:spPr>
          <c:invertIfNegative val="0"/>
          <c:cat>
            <c:strRef>
              <c:f>'Pivot Table'!$A$10:$A$12</c:f>
              <c:strCache>
                <c:ptCount val="3"/>
                <c:pt idx="0">
                  <c:v>Facebook</c:v>
                </c:pt>
                <c:pt idx="1">
                  <c:v>Instagram</c:v>
                </c:pt>
                <c:pt idx="2">
                  <c:v>Twitter</c:v>
                </c:pt>
              </c:strCache>
            </c:strRef>
          </c:cat>
          <c:val>
            <c:numRef>
              <c:f>'Pivot Table'!$D$10:$D$12</c:f>
              <c:numCache>
                <c:formatCode>General</c:formatCode>
                <c:ptCount val="3"/>
                <c:pt idx="0">
                  <c:v>3</c:v>
                </c:pt>
                <c:pt idx="1">
                  <c:v>6</c:v>
                </c:pt>
                <c:pt idx="2">
                  <c:v>4</c:v>
                </c:pt>
              </c:numCache>
            </c:numRef>
          </c:val>
        </c:ser>
        <c:ser>
          <c:idx val="3"/>
          <c:order val="3"/>
          <c:tx>
            <c:strRef>
              <c:f>'Pivot Table'!$E$8:$E$9</c:f>
              <c:strCache>
                <c:ptCount val="1"/>
                <c:pt idx="0">
                  <c:v>Text</c:v>
                </c:pt>
              </c:strCache>
            </c:strRef>
          </c:tx>
          <c:spPr>
            <a:solidFill>
              <a:schemeClr val="accent4"/>
            </a:solidFill>
            <a:ln>
              <a:noFill/>
            </a:ln>
            <a:effectLst/>
          </c:spPr>
          <c:invertIfNegative val="0"/>
          <c:cat>
            <c:strRef>
              <c:f>'Pivot Table'!$A$10:$A$12</c:f>
              <c:strCache>
                <c:ptCount val="3"/>
                <c:pt idx="0">
                  <c:v>Facebook</c:v>
                </c:pt>
                <c:pt idx="1">
                  <c:v>Instagram</c:v>
                </c:pt>
                <c:pt idx="2">
                  <c:v>Twitter</c:v>
                </c:pt>
              </c:strCache>
            </c:strRef>
          </c:cat>
          <c:val>
            <c:numRef>
              <c:f>'Pivot Table'!$E$10:$E$12</c:f>
              <c:numCache>
                <c:formatCode>General</c:formatCode>
                <c:ptCount val="3"/>
                <c:pt idx="0">
                  <c:v>6</c:v>
                </c:pt>
                <c:pt idx="1">
                  <c:v>7</c:v>
                </c:pt>
                <c:pt idx="2">
                  <c:v>8</c:v>
                </c:pt>
              </c:numCache>
            </c:numRef>
          </c:val>
        </c:ser>
        <c:ser>
          <c:idx val="4"/>
          <c:order val="4"/>
          <c:tx>
            <c:strRef>
              <c:f>'Pivot Table'!$F$8:$F$9</c:f>
              <c:strCache>
                <c:ptCount val="1"/>
                <c:pt idx="0">
                  <c:v>Video</c:v>
                </c:pt>
              </c:strCache>
            </c:strRef>
          </c:tx>
          <c:spPr>
            <a:solidFill>
              <a:schemeClr val="accent5"/>
            </a:solidFill>
            <a:ln>
              <a:noFill/>
            </a:ln>
            <a:effectLst/>
          </c:spPr>
          <c:invertIfNegative val="0"/>
          <c:cat>
            <c:strRef>
              <c:f>'Pivot Table'!$A$10:$A$12</c:f>
              <c:strCache>
                <c:ptCount val="3"/>
                <c:pt idx="0">
                  <c:v>Facebook</c:v>
                </c:pt>
                <c:pt idx="1">
                  <c:v>Instagram</c:v>
                </c:pt>
                <c:pt idx="2">
                  <c:v>Twitter</c:v>
                </c:pt>
              </c:strCache>
            </c:strRef>
          </c:cat>
          <c:val>
            <c:numRef>
              <c:f>'Pivot Table'!$F$10:$F$12</c:f>
              <c:numCache>
                <c:formatCode>General</c:formatCode>
                <c:ptCount val="3"/>
                <c:pt idx="0">
                  <c:v>9</c:v>
                </c:pt>
                <c:pt idx="1">
                  <c:v>7</c:v>
                </c:pt>
                <c:pt idx="2">
                  <c:v>7</c:v>
                </c:pt>
              </c:numCache>
            </c:numRef>
          </c:val>
        </c:ser>
        <c:dLbls>
          <c:showLegendKey val="0"/>
          <c:showVal val="0"/>
          <c:showCatName val="0"/>
          <c:showSerName val="0"/>
          <c:showPercent val="0"/>
          <c:showBubbleSize val="0"/>
        </c:dLbls>
        <c:gapWidth val="219"/>
        <c:overlap val="-27"/>
        <c:axId val="-1311340512"/>
        <c:axId val="-1311326368"/>
      </c:barChart>
      <c:catAx>
        <c:axId val="-1311340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1326368"/>
        <c:crosses val="autoZero"/>
        <c:auto val="1"/>
        <c:lblAlgn val="ctr"/>
        <c:lblOffset val="100"/>
        <c:noMultiLvlLbl val="0"/>
      </c:catAx>
      <c:valAx>
        <c:axId val="-1311326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134051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FFC00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[social_media_engagement.xlsx]Pivot Table!PivotTable3</c:name>
    <c:fmtId val="6"/>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hade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hade val="50000"/>
              </a:schemeClr>
            </a:solidFill>
          </a:ln>
          <a:effectLst/>
        </c:spPr>
      </c:pivotFmt>
      <c:pivotFmt>
        <c:idx val="13"/>
        <c:spPr>
          <a:solidFill>
            <a:schemeClr val="accent1"/>
          </a:solidFill>
          <a:ln w="19050">
            <a:solidFill>
              <a:schemeClr val="lt1">
                <a:shade val="50000"/>
              </a:schemeClr>
            </a:solidFill>
          </a:ln>
          <a:effectLst/>
        </c:spPr>
      </c:pivotFmt>
      <c:pivotFmt>
        <c:idx val="14"/>
        <c:spPr>
          <a:solidFill>
            <a:schemeClr val="accent1"/>
          </a:solidFill>
          <a:ln w="19050">
            <a:solidFill>
              <a:schemeClr val="lt1">
                <a:shade val="50000"/>
              </a:schemeClr>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hade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w="19050">
            <a:solidFill>
              <a:schemeClr val="lt1">
                <a:shade val="50000"/>
              </a:schemeClr>
            </a:solidFill>
          </a:ln>
          <a:effectLst/>
        </c:spPr>
      </c:pivotFmt>
      <c:pivotFmt>
        <c:idx val="50"/>
        <c:spPr>
          <a:solidFill>
            <a:schemeClr val="accent1"/>
          </a:solidFill>
          <a:ln w="19050">
            <a:solidFill>
              <a:schemeClr val="lt1">
                <a:shade val="50000"/>
              </a:schemeClr>
            </a:solidFill>
          </a:ln>
          <a:effectLst/>
        </c:spPr>
      </c:pivotFmt>
      <c:pivotFmt>
        <c:idx val="51"/>
        <c:spPr>
          <a:solidFill>
            <a:schemeClr val="accent1"/>
          </a:solidFill>
          <a:ln w="19050">
            <a:solidFill>
              <a:schemeClr val="lt1">
                <a:shade val="50000"/>
              </a:schemeClr>
            </a:solidFill>
          </a:ln>
          <a:effectLst/>
        </c:spPr>
      </c:pivotFmt>
      <c:pivotFmt>
        <c:idx val="5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hade val="50000"/>
              </a:schemeClr>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97"/>
        <c:spPr>
          <a:solidFill>
            <a:schemeClr val="accent1"/>
          </a:solidFill>
          <a:ln w="19050">
            <a:solidFill>
              <a:schemeClr val="lt1">
                <a:shade val="50000"/>
              </a:schemeClr>
            </a:solidFill>
          </a:ln>
          <a:effectLst/>
        </c:spPr>
      </c:pivotFmt>
      <c:pivotFmt>
        <c:idx val="98"/>
        <c:spPr>
          <a:solidFill>
            <a:schemeClr val="accent1"/>
          </a:solidFill>
          <a:ln w="19050">
            <a:solidFill>
              <a:schemeClr val="lt1">
                <a:shade val="50000"/>
              </a:schemeClr>
            </a:solidFill>
          </a:ln>
          <a:effectLst/>
        </c:spPr>
      </c:pivotFmt>
      <c:pivotFmt>
        <c:idx val="99"/>
        <c:spPr>
          <a:solidFill>
            <a:schemeClr val="accent1"/>
          </a:solidFill>
          <a:ln w="19050">
            <a:solidFill>
              <a:schemeClr val="lt1">
                <a:shade val="50000"/>
              </a:schemeClr>
            </a:solidFill>
          </a:ln>
          <a:effectLst/>
        </c:spPr>
      </c:pivotFmt>
      <c:pivotFmt>
        <c:idx val="10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pivotFmt>
      <c:pivotFmt>
        <c:idx val="119"/>
        <c:spPr>
          <a:solidFill>
            <a:schemeClr val="accent1"/>
          </a:solidFill>
          <a:ln w="19050">
            <a:solidFill>
              <a:schemeClr val="lt1"/>
            </a:solidFill>
          </a:ln>
          <a:effectLst/>
        </c:spPr>
      </c:pivotFmt>
      <c:pivotFmt>
        <c:idx val="1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1"/>
        <c:spPr>
          <a:solidFill>
            <a:schemeClr val="accent1"/>
          </a:solidFill>
          <a:ln w="19050">
            <a:solidFill>
              <a:schemeClr val="lt1"/>
            </a:solidFill>
          </a:ln>
          <a:effectLst/>
        </c:spPr>
      </c:pivotFmt>
      <c:pivotFmt>
        <c:idx val="122"/>
        <c:spPr>
          <a:solidFill>
            <a:schemeClr val="accent1"/>
          </a:solidFill>
          <a:ln w="19050">
            <a:solidFill>
              <a:schemeClr val="lt1"/>
            </a:solidFill>
          </a:ln>
          <a:effectLst/>
        </c:spPr>
      </c:pivotFmt>
      <c:pivotFmt>
        <c:idx val="123"/>
        <c:spPr>
          <a:solidFill>
            <a:schemeClr val="accent1"/>
          </a:solidFill>
          <a:ln w="19050">
            <a:solidFill>
              <a:schemeClr val="lt1"/>
            </a:solidFill>
          </a:ln>
          <a:effectLst/>
        </c:spPr>
      </c:pivotFmt>
      <c:pivotFmt>
        <c:idx val="1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5"/>
        <c:spPr>
          <a:solidFill>
            <a:schemeClr val="accent1"/>
          </a:solidFill>
          <a:ln w="19050">
            <a:solidFill>
              <a:schemeClr val="lt1"/>
            </a:solidFill>
          </a:ln>
          <a:effectLst/>
        </c:spPr>
      </c:pivotFmt>
      <c:pivotFmt>
        <c:idx val="126"/>
        <c:spPr>
          <a:solidFill>
            <a:schemeClr val="accent1"/>
          </a:solidFill>
          <a:ln w="19050">
            <a:solidFill>
              <a:schemeClr val="lt1"/>
            </a:solidFill>
          </a:ln>
          <a:effectLst/>
        </c:spPr>
      </c:pivotFmt>
      <c:pivotFmt>
        <c:idx val="127"/>
        <c:spPr>
          <a:solidFill>
            <a:schemeClr val="accent1"/>
          </a:solidFill>
          <a:ln w="19050">
            <a:solidFill>
              <a:schemeClr val="lt1"/>
            </a:solidFill>
          </a:ln>
          <a:effectLst/>
        </c:spPr>
      </c:pivotFmt>
      <c:pivotFmt>
        <c:idx val="12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9"/>
        <c:spPr>
          <a:solidFill>
            <a:schemeClr val="accent1"/>
          </a:solidFill>
          <a:ln w="19050">
            <a:solidFill>
              <a:schemeClr val="lt1"/>
            </a:solidFill>
          </a:ln>
          <a:effectLst/>
        </c:spPr>
      </c:pivotFmt>
      <c:pivotFmt>
        <c:idx val="130"/>
        <c:spPr>
          <a:solidFill>
            <a:schemeClr val="accent1"/>
          </a:solidFill>
          <a:ln w="19050">
            <a:solidFill>
              <a:schemeClr val="lt1"/>
            </a:solidFill>
          </a:ln>
          <a:effectLst/>
        </c:spPr>
      </c:pivotFmt>
      <c:pivotFmt>
        <c:idx val="131"/>
        <c:spPr>
          <a:solidFill>
            <a:schemeClr val="accent1"/>
          </a:solidFill>
          <a:ln w="19050">
            <a:solidFill>
              <a:schemeClr val="lt1"/>
            </a:solidFill>
          </a:ln>
          <a:effectLst/>
        </c:spPr>
      </c:pivotFmt>
      <c:pivotFmt>
        <c:idx val="13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3"/>
        <c:spPr>
          <a:solidFill>
            <a:schemeClr val="accent1"/>
          </a:solidFill>
          <a:ln w="19050">
            <a:solidFill>
              <a:schemeClr val="lt1"/>
            </a:solidFill>
          </a:ln>
          <a:effectLst/>
        </c:spPr>
      </c:pivotFmt>
      <c:pivotFmt>
        <c:idx val="134"/>
        <c:spPr>
          <a:solidFill>
            <a:schemeClr val="accent1"/>
          </a:solidFill>
          <a:ln w="19050">
            <a:solidFill>
              <a:schemeClr val="lt1"/>
            </a:solidFill>
          </a:ln>
          <a:effectLst/>
        </c:spPr>
      </c:pivotFmt>
      <c:pivotFmt>
        <c:idx val="135"/>
        <c:spPr>
          <a:solidFill>
            <a:schemeClr val="accent1"/>
          </a:solidFill>
          <a:ln w="19050">
            <a:solidFill>
              <a:schemeClr val="lt1"/>
            </a:solidFill>
          </a:ln>
          <a:effectLst/>
        </c:spPr>
      </c:pivotFmt>
      <c:pivotFmt>
        <c:idx val="13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7"/>
        <c:spPr>
          <a:solidFill>
            <a:schemeClr val="accent1"/>
          </a:solidFill>
          <a:ln w="19050">
            <a:solidFill>
              <a:schemeClr val="lt1"/>
            </a:solidFill>
          </a:ln>
          <a:effectLst/>
        </c:spPr>
      </c:pivotFmt>
      <c:pivotFmt>
        <c:idx val="138"/>
        <c:spPr>
          <a:solidFill>
            <a:schemeClr val="accent1"/>
          </a:solidFill>
          <a:ln w="19050">
            <a:solidFill>
              <a:schemeClr val="lt1"/>
            </a:solidFill>
          </a:ln>
          <a:effectLst/>
        </c:spPr>
      </c:pivotFmt>
      <c:pivotFmt>
        <c:idx val="139"/>
        <c:spPr>
          <a:solidFill>
            <a:schemeClr val="accent1"/>
          </a:solidFill>
          <a:ln w="19050">
            <a:solidFill>
              <a:schemeClr val="lt1"/>
            </a:solidFill>
          </a:ln>
          <a:effectLst/>
        </c:spPr>
      </c:pivotFmt>
      <c:pivotFmt>
        <c:idx val="14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1"/>
        <c:spPr>
          <a:solidFill>
            <a:schemeClr val="accent1"/>
          </a:solidFill>
          <a:ln w="19050">
            <a:solidFill>
              <a:schemeClr val="lt1"/>
            </a:solidFill>
          </a:ln>
          <a:effectLst/>
        </c:spPr>
      </c:pivotFmt>
      <c:pivotFmt>
        <c:idx val="142"/>
        <c:spPr>
          <a:solidFill>
            <a:schemeClr val="accent1"/>
          </a:solidFill>
          <a:ln w="19050">
            <a:solidFill>
              <a:schemeClr val="lt1"/>
            </a:solidFill>
          </a:ln>
          <a:effectLst/>
        </c:spPr>
      </c:pivotFmt>
      <c:pivotFmt>
        <c:idx val="143"/>
        <c:spPr>
          <a:solidFill>
            <a:schemeClr val="accent1"/>
          </a:solidFill>
          <a:ln w="19050">
            <a:solidFill>
              <a:schemeClr val="lt1"/>
            </a:solidFill>
          </a:ln>
          <a:effectLst/>
        </c:spPr>
      </c:pivotFmt>
    </c:pivotFmts>
    <c:plotArea>
      <c:layout/>
      <c:pieChart>
        <c:varyColors val="1"/>
        <c:ser>
          <c:idx val="0"/>
          <c:order val="0"/>
          <c:tx>
            <c:strRef>
              <c:f>'Pivot Table'!$B$2:$B$3</c:f>
              <c:strCache>
                <c:ptCount val="1"/>
                <c:pt idx="0">
                  <c:v>Jan</c:v>
                </c:pt>
              </c:strCache>
            </c:strRef>
          </c:tx>
          <c:spPr>
            <a:ln>
              <a:solidFill>
                <a:schemeClr val="lt1">
                  <a:shade val="50000"/>
                </a:schemeClr>
              </a:solidFill>
            </a:ln>
          </c:spPr>
          <c:dPt>
            <c:idx val="0"/>
            <c:bubble3D val="0"/>
            <c:spPr>
              <a:solidFill>
                <a:schemeClr val="accent1"/>
              </a:solidFill>
              <a:ln w="19050">
                <a:solidFill>
                  <a:schemeClr val="lt1">
                    <a:shade val="50000"/>
                  </a:schemeClr>
                </a:solidFill>
              </a:ln>
              <a:effectLst/>
            </c:spPr>
          </c:dPt>
          <c:dPt>
            <c:idx val="1"/>
            <c:bubble3D val="0"/>
            <c:spPr>
              <a:solidFill>
                <a:schemeClr val="accent2"/>
              </a:solidFill>
              <a:ln w="19050">
                <a:solidFill>
                  <a:schemeClr val="lt1">
                    <a:shade val="50000"/>
                  </a:schemeClr>
                </a:solidFill>
              </a:ln>
              <a:effectLst/>
            </c:spPr>
          </c:dPt>
          <c:dPt>
            <c:idx val="2"/>
            <c:bubble3D val="0"/>
            <c:spPr>
              <a:solidFill>
                <a:schemeClr val="accent3"/>
              </a:solidFill>
              <a:ln w="19050">
                <a:solidFill>
                  <a:schemeClr val="lt1">
                    <a:shade val="50000"/>
                  </a:schemeClr>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Table'!$A$4:$A$6</c:f>
              <c:strCache>
                <c:ptCount val="3"/>
                <c:pt idx="0">
                  <c:v>Facebook</c:v>
                </c:pt>
                <c:pt idx="1">
                  <c:v>Instagram</c:v>
                </c:pt>
                <c:pt idx="2">
                  <c:v>Twitter</c:v>
                </c:pt>
              </c:strCache>
            </c:strRef>
          </c:cat>
          <c:val>
            <c:numRef>
              <c:f>'Pivot Table'!$B$4:$B$6</c:f>
              <c:numCache>
                <c:formatCode>General</c:formatCode>
                <c:ptCount val="3"/>
                <c:pt idx="0">
                  <c:v>6</c:v>
                </c:pt>
                <c:pt idx="1">
                  <c:v>3</c:v>
                </c:pt>
                <c:pt idx="2">
                  <c:v>1</c:v>
                </c:pt>
              </c:numCache>
            </c:numRef>
          </c:val>
        </c:ser>
        <c:ser>
          <c:idx val="1"/>
          <c:order val="1"/>
          <c:tx>
            <c:strRef>
              <c:f>'Pivot Table'!$C$2:$C$3</c:f>
              <c:strCache>
                <c:ptCount val="1"/>
                <c:pt idx="0">
                  <c:v>Feb</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Table'!$A$4:$A$6</c:f>
              <c:strCache>
                <c:ptCount val="3"/>
                <c:pt idx="0">
                  <c:v>Facebook</c:v>
                </c:pt>
                <c:pt idx="1">
                  <c:v>Instagram</c:v>
                </c:pt>
                <c:pt idx="2">
                  <c:v>Twitter</c:v>
                </c:pt>
              </c:strCache>
            </c:strRef>
          </c:cat>
          <c:val>
            <c:numRef>
              <c:f>'Pivot Table'!$C$4:$C$6</c:f>
              <c:numCache>
                <c:formatCode>General</c:formatCode>
                <c:ptCount val="3"/>
                <c:pt idx="0">
                  <c:v>3</c:v>
                </c:pt>
                <c:pt idx="1">
                  <c:v>2</c:v>
                </c:pt>
                <c:pt idx="2">
                  <c:v>3</c:v>
                </c:pt>
              </c:numCache>
            </c:numRef>
          </c:val>
        </c:ser>
        <c:ser>
          <c:idx val="2"/>
          <c:order val="2"/>
          <c:tx>
            <c:strRef>
              <c:f>'Pivot Table'!$D$2:$D$3</c:f>
              <c:strCache>
                <c:ptCount val="1"/>
                <c:pt idx="0">
                  <c:v>Mar</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Table'!$A$4:$A$6</c:f>
              <c:strCache>
                <c:ptCount val="3"/>
                <c:pt idx="0">
                  <c:v>Facebook</c:v>
                </c:pt>
                <c:pt idx="1">
                  <c:v>Instagram</c:v>
                </c:pt>
                <c:pt idx="2">
                  <c:v>Twitter</c:v>
                </c:pt>
              </c:strCache>
            </c:strRef>
          </c:cat>
          <c:val>
            <c:numRef>
              <c:f>'Pivot Table'!$D$4:$D$6</c:f>
              <c:numCache>
                <c:formatCode>General</c:formatCode>
                <c:ptCount val="3"/>
                <c:pt idx="0">
                  <c:v>2</c:v>
                </c:pt>
                <c:pt idx="1">
                  <c:v>3</c:v>
                </c:pt>
                <c:pt idx="2">
                  <c:v>1</c:v>
                </c:pt>
              </c:numCache>
            </c:numRef>
          </c:val>
        </c:ser>
        <c:ser>
          <c:idx val="3"/>
          <c:order val="3"/>
          <c:tx>
            <c:strRef>
              <c:f>'Pivot Table'!$E$2:$E$3</c:f>
              <c:strCache>
                <c:ptCount val="1"/>
                <c:pt idx="0">
                  <c:v>Apr</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Table'!$A$4:$A$6</c:f>
              <c:strCache>
                <c:ptCount val="3"/>
                <c:pt idx="0">
                  <c:v>Facebook</c:v>
                </c:pt>
                <c:pt idx="1">
                  <c:v>Instagram</c:v>
                </c:pt>
                <c:pt idx="2">
                  <c:v>Twitter</c:v>
                </c:pt>
              </c:strCache>
            </c:strRef>
          </c:cat>
          <c:val>
            <c:numRef>
              <c:f>'Pivot Table'!$E$4:$E$6</c:f>
              <c:numCache>
                <c:formatCode>General</c:formatCode>
                <c:ptCount val="3"/>
                <c:pt idx="0">
                  <c:v>2</c:v>
                </c:pt>
                <c:pt idx="1">
                  <c:v>3</c:v>
                </c:pt>
                <c:pt idx="2">
                  <c:v>1</c:v>
                </c:pt>
              </c:numCache>
            </c:numRef>
          </c:val>
        </c:ser>
        <c:ser>
          <c:idx val="4"/>
          <c:order val="4"/>
          <c:tx>
            <c:strRef>
              <c:f>'Pivot Table'!$F$2:$F$3</c:f>
              <c:strCache>
                <c:ptCount val="1"/>
                <c:pt idx="0">
                  <c:v>May</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Table'!$A$4:$A$6</c:f>
              <c:strCache>
                <c:ptCount val="3"/>
                <c:pt idx="0">
                  <c:v>Facebook</c:v>
                </c:pt>
                <c:pt idx="1">
                  <c:v>Instagram</c:v>
                </c:pt>
                <c:pt idx="2">
                  <c:v>Twitter</c:v>
                </c:pt>
              </c:strCache>
            </c:strRef>
          </c:cat>
          <c:val>
            <c:numRef>
              <c:f>'Pivot Table'!$F$4:$F$6</c:f>
              <c:numCache>
                <c:formatCode>General</c:formatCode>
                <c:ptCount val="3"/>
                <c:pt idx="0">
                  <c:v>5</c:v>
                </c:pt>
                <c:pt idx="1">
                  <c:v>5</c:v>
                </c:pt>
                <c:pt idx="2">
                  <c:v>7</c:v>
                </c:pt>
              </c:numCache>
            </c:numRef>
          </c:val>
        </c:ser>
        <c:ser>
          <c:idx val="5"/>
          <c:order val="5"/>
          <c:tx>
            <c:strRef>
              <c:f>'Pivot Table'!$G$2:$G$3</c:f>
              <c:strCache>
                <c:ptCount val="1"/>
                <c:pt idx="0">
                  <c:v>Jun</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Table'!$A$4:$A$6</c:f>
              <c:strCache>
                <c:ptCount val="3"/>
                <c:pt idx="0">
                  <c:v>Facebook</c:v>
                </c:pt>
                <c:pt idx="1">
                  <c:v>Instagram</c:v>
                </c:pt>
                <c:pt idx="2">
                  <c:v>Twitter</c:v>
                </c:pt>
              </c:strCache>
            </c:strRef>
          </c:cat>
          <c:val>
            <c:numRef>
              <c:f>'Pivot Table'!$G$4:$G$6</c:f>
              <c:numCache>
                <c:formatCode>General</c:formatCode>
                <c:ptCount val="3"/>
                <c:pt idx="0">
                  <c:v>2</c:v>
                </c:pt>
                <c:pt idx="1">
                  <c:v>2</c:v>
                </c:pt>
                <c:pt idx="2">
                  <c:v>1</c:v>
                </c:pt>
              </c:numCache>
            </c:numRef>
          </c:val>
        </c:ser>
        <c:ser>
          <c:idx val="6"/>
          <c:order val="6"/>
          <c:tx>
            <c:strRef>
              <c:f>'Pivot Table'!$H$2:$H$3</c:f>
              <c:strCache>
                <c:ptCount val="1"/>
                <c:pt idx="0">
                  <c:v>Jul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Table'!$A$4:$A$6</c:f>
              <c:strCache>
                <c:ptCount val="3"/>
                <c:pt idx="0">
                  <c:v>Facebook</c:v>
                </c:pt>
                <c:pt idx="1">
                  <c:v>Instagram</c:v>
                </c:pt>
                <c:pt idx="2">
                  <c:v>Twitter</c:v>
                </c:pt>
              </c:strCache>
            </c:strRef>
          </c:cat>
          <c:val>
            <c:numRef>
              <c:f>'Pivot Table'!$H$4:$H$6</c:f>
              <c:numCache>
                <c:formatCode>General</c:formatCode>
                <c:ptCount val="3"/>
                <c:pt idx="0">
                  <c:v>3</c:v>
                </c:pt>
                <c:pt idx="1">
                  <c:v>7</c:v>
                </c:pt>
                <c:pt idx="2">
                  <c:v>3</c:v>
                </c:pt>
              </c:numCache>
            </c:numRef>
          </c:val>
        </c:ser>
        <c:ser>
          <c:idx val="7"/>
          <c:order val="7"/>
          <c:tx>
            <c:strRef>
              <c:f>'Pivot Table'!$I$2:$I$3</c:f>
              <c:strCache>
                <c:ptCount val="1"/>
                <c:pt idx="0">
                  <c:v>Aug</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Table'!$A$4:$A$6</c:f>
              <c:strCache>
                <c:ptCount val="3"/>
                <c:pt idx="0">
                  <c:v>Facebook</c:v>
                </c:pt>
                <c:pt idx="1">
                  <c:v>Instagram</c:v>
                </c:pt>
                <c:pt idx="2">
                  <c:v>Twitter</c:v>
                </c:pt>
              </c:strCache>
            </c:strRef>
          </c:cat>
          <c:val>
            <c:numRef>
              <c:f>'Pivot Table'!$I$4:$I$6</c:f>
              <c:numCache>
                <c:formatCode>General</c:formatCode>
                <c:ptCount val="3"/>
                <c:pt idx="0">
                  <c:v>2</c:v>
                </c:pt>
                <c:pt idx="1">
                  <c:v>1</c:v>
                </c:pt>
                <c:pt idx="2">
                  <c:v>1</c:v>
                </c:pt>
              </c:numCache>
            </c:numRef>
          </c:val>
        </c:ser>
        <c:ser>
          <c:idx val="8"/>
          <c:order val="8"/>
          <c:tx>
            <c:strRef>
              <c:f>'Pivot Table'!$J$2:$J$3</c:f>
              <c:strCache>
                <c:ptCount val="1"/>
                <c:pt idx="0">
                  <c:v>Sep</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Table'!$A$4:$A$6</c:f>
              <c:strCache>
                <c:ptCount val="3"/>
                <c:pt idx="0">
                  <c:v>Facebook</c:v>
                </c:pt>
                <c:pt idx="1">
                  <c:v>Instagram</c:v>
                </c:pt>
                <c:pt idx="2">
                  <c:v>Twitter</c:v>
                </c:pt>
              </c:strCache>
            </c:strRef>
          </c:cat>
          <c:val>
            <c:numRef>
              <c:f>'Pivot Table'!$J$4:$J$6</c:f>
              <c:numCache>
                <c:formatCode>General</c:formatCode>
                <c:ptCount val="3"/>
                <c:pt idx="0">
                  <c:v>2</c:v>
                </c:pt>
                <c:pt idx="1">
                  <c:v>1</c:v>
                </c:pt>
                <c:pt idx="2">
                  <c:v>2</c:v>
                </c:pt>
              </c:numCache>
            </c:numRef>
          </c:val>
        </c:ser>
        <c:ser>
          <c:idx val="9"/>
          <c:order val="9"/>
          <c:tx>
            <c:strRef>
              <c:f>'Pivot Table'!$K$2:$K$3</c:f>
              <c:strCache>
                <c:ptCount val="1"/>
                <c:pt idx="0">
                  <c:v>Oct</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Table'!$A$4:$A$6</c:f>
              <c:strCache>
                <c:ptCount val="3"/>
                <c:pt idx="0">
                  <c:v>Facebook</c:v>
                </c:pt>
                <c:pt idx="1">
                  <c:v>Instagram</c:v>
                </c:pt>
                <c:pt idx="2">
                  <c:v>Twitter</c:v>
                </c:pt>
              </c:strCache>
            </c:strRef>
          </c:cat>
          <c:val>
            <c:numRef>
              <c:f>'Pivot Table'!$K$4:$K$6</c:f>
              <c:numCache>
                <c:formatCode>General</c:formatCode>
                <c:ptCount val="3"/>
                <c:pt idx="0">
                  <c:v>2</c:v>
                </c:pt>
                <c:pt idx="1">
                  <c:v>2</c:v>
                </c:pt>
                <c:pt idx="2">
                  <c:v>4</c:v>
                </c:pt>
              </c:numCache>
            </c:numRef>
          </c:val>
        </c:ser>
        <c:ser>
          <c:idx val="10"/>
          <c:order val="10"/>
          <c:tx>
            <c:strRef>
              <c:f>'Pivot Table'!$L$2:$L$3</c:f>
              <c:strCache>
                <c:ptCount val="1"/>
                <c:pt idx="0">
                  <c:v>Nov</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Table'!$A$4:$A$6</c:f>
              <c:strCache>
                <c:ptCount val="3"/>
                <c:pt idx="0">
                  <c:v>Facebook</c:v>
                </c:pt>
                <c:pt idx="1">
                  <c:v>Instagram</c:v>
                </c:pt>
                <c:pt idx="2">
                  <c:v>Twitter</c:v>
                </c:pt>
              </c:strCache>
            </c:strRef>
          </c:cat>
          <c:val>
            <c:numRef>
              <c:f>'Pivot Table'!$L$4:$L$6</c:f>
              <c:numCache>
                <c:formatCode>General</c:formatCode>
                <c:ptCount val="3"/>
                <c:pt idx="0">
                  <c:v>2</c:v>
                </c:pt>
                <c:pt idx="1">
                  <c:v>2</c:v>
                </c:pt>
                <c:pt idx="2">
                  <c:v>4</c:v>
                </c:pt>
              </c:numCache>
            </c:numRef>
          </c:val>
        </c:ser>
        <c:ser>
          <c:idx val="11"/>
          <c:order val="11"/>
          <c:tx>
            <c:strRef>
              <c:f>'Pivot Table'!$M$2:$M$3</c:f>
              <c:strCache>
                <c:ptCount val="1"/>
                <c:pt idx="0">
                  <c:v>Dec</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Table'!$A$4:$A$6</c:f>
              <c:strCache>
                <c:ptCount val="3"/>
                <c:pt idx="0">
                  <c:v>Facebook</c:v>
                </c:pt>
                <c:pt idx="1">
                  <c:v>Instagram</c:v>
                </c:pt>
                <c:pt idx="2">
                  <c:v>Twitter</c:v>
                </c:pt>
              </c:strCache>
            </c:strRef>
          </c:cat>
          <c:val>
            <c:numRef>
              <c:f>'Pivot Table'!$M$4:$M$6</c:f>
              <c:numCache>
                <c:formatCode>General</c:formatCode>
                <c:ptCount val="3"/>
                <c:pt idx="0">
                  <c:v>1</c:v>
                </c:pt>
                <c:pt idx="1">
                  <c:v>5</c:v>
                </c:pt>
                <c:pt idx="2">
                  <c:v>4</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FFC00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[social_media_engagement.xlsx]Pivot Table!PivotTable4</c:name>
    <c:fmtId val="2"/>
  </c:pivotSource>
  <c:chart>
    <c:autoTitleDeleted val="0"/>
    <c:pivotFmts>
      <c:pivotFmt>
        <c:idx val="0"/>
      </c:pivotFmt>
      <c:pivotFmt>
        <c:idx val="1"/>
      </c:pivotFmt>
      <c:pivotFmt>
        <c:idx val="2"/>
      </c:pivotFmt>
      <c:pivotFmt>
        <c:idx val="3"/>
      </c:pivotFmt>
      <c:pivotFmt>
        <c:idx val="4"/>
      </c:pivotFmt>
      <c:pivotFmt>
        <c:idx val="5"/>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s>
    <c:plotArea>
      <c:layout/>
      <c:barChart>
        <c:barDir val="col"/>
        <c:grouping val="clustered"/>
        <c:varyColors val="0"/>
        <c:ser>
          <c:idx val="0"/>
          <c:order val="0"/>
          <c:tx>
            <c:strRef>
              <c:f>'Pivot Table'!$B$14</c:f>
              <c:strCache>
                <c:ptCount val="1"/>
                <c:pt idx="0">
                  <c:v>Sum of Likes</c:v>
                </c:pt>
              </c:strCache>
            </c:strRef>
          </c:tx>
          <c:spPr>
            <a:solidFill>
              <a:schemeClr val="accent1"/>
            </a:solidFill>
            <a:ln>
              <a:noFill/>
            </a:ln>
            <a:effectLst/>
          </c:spPr>
          <c:invertIfNegative val="0"/>
          <c:cat>
            <c:strRef>
              <c:f>'Pivot Table'!$A$15:$A$17</c:f>
              <c:strCache>
                <c:ptCount val="3"/>
                <c:pt idx="0">
                  <c:v>Facebook</c:v>
                </c:pt>
                <c:pt idx="1">
                  <c:v>Instagram</c:v>
                </c:pt>
                <c:pt idx="2">
                  <c:v>Twitter</c:v>
                </c:pt>
              </c:strCache>
            </c:strRef>
          </c:cat>
          <c:val>
            <c:numRef>
              <c:f>'Pivot Table'!$B$15:$B$17</c:f>
              <c:numCache>
                <c:formatCode>General</c:formatCode>
                <c:ptCount val="3"/>
                <c:pt idx="0">
                  <c:v>86392</c:v>
                </c:pt>
                <c:pt idx="1">
                  <c:v>107994</c:v>
                </c:pt>
                <c:pt idx="2">
                  <c:v>43795</c:v>
                </c:pt>
              </c:numCache>
            </c:numRef>
          </c:val>
        </c:ser>
        <c:ser>
          <c:idx val="1"/>
          <c:order val="1"/>
          <c:tx>
            <c:strRef>
              <c:f>'Pivot Table'!$C$14</c:f>
              <c:strCache>
                <c:ptCount val="1"/>
                <c:pt idx="0">
                  <c:v>Sum of Comments</c:v>
                </c:pt>
              </c:strCache>
            </c:strRef>
          </c:tx>
          <c:spPr>
            <a:solidFill>
              <a:schemeClr val="accent2"/>
            </a:solidFill>
            <a:ln>
              <a:noFill/>
            </a:ln>
            <a:effectLst/>
          </c:spPr>
          <c:invertIfNegative val="0"/>
          <c:cat>
            <c:strRef>
              <c:f>'Pivot Table'!$A$15:$A$17</c:f>
              <c:strCache>
                <c:ptCount val="3"/>
                <c:pt idx="0">
                  <c:v>Facebook</c:v>
                </c:pt>
                <c:pt idx="1">
                  <c:v>Instagram</c:v>
                </c:pt>
                <c:pt idx="2">
                  <c:v>Twitter</c:v>
                </c:pt>
              </c:strCache>
            </c:strRef>
          </c:cat>
          <c:val>
            <c:numRef>
              <c:f>'Pivot Table'!$C$15:$C$17</c:f>
              <c:numCache>
                <c:formatCode>General</c:formatCode>
                <c:ptCount val="3"/>
                <c:pt idx="0">
                  <c:v>7965</c:v>
                </c:pt>
                <c:pt idx="1">
                  <c:v>8368</c:v>
                </c:pt>
                <c:pt idx="2">
                  <c:v>3933</c:v>
                </c:pt>
              </c:numCache>
            </c:numRef>
          </c:val>
        </c:ser>
        <c:ser>
          <c:idx val="2"/>
          <c:order val="2"/>
          <c:tx>
            <c:strRef>
              <c:f>'Pivot Table'!$D$14</c:f>
              <c:strCache>
                <c:ptCount val="1"/>
                <c:pt idx="0">
                  <c:v>Sum of Shares</c:v>
                </c:pt>
              </c:strCache>
            </c:strRef>
          </c:tx>
          <c:spPr>
            <a:solidFill>
              <a:schemeClr val="accent3"/>
            </a:solidFill>
            <a:ln>
              <a:noFill/>
            </a:ln>
            <a:effectLst/>
          </c:spPr>
          <c:invertIfNegative val="0"/>
          <c:cat>
            <c:strRef>
              <c:f>'Pivot Table'!$A$15:$A$17</c:f>
              <c:strCache>
                <c:ptCount val="3"/>
                <c:pt idx="0">
                  <c:v>Facebook</c:v>
                </c:pt>
                <c:pt idx="1">
                  <c:v>Instagram</c:v>
                </c:pt>
                <c:pt idx="2">
                  <c:v>Twitter</c:v>
                </c:pt>
              </c:strCache>
            </c:strRef>
          </c:cat>
          <c:val>
            <c:numRef>
              <c:f>'Pivot Table'!$D$15:$D$17</c:f>
              <c:numCache>
                <c:formatCode>General</c:formatCode>
                <c:ptCount val="3"/>
                <c:pt idx="0">
                  <c:v>15180</c:v>
                </c:pt>
                <c:pt idx="1">
                  <c:v>18906</c:v>
                </c:pt>
                <c:pt idx="2">
                  <c:v>7479</c:v>
                </c:pt>
              </c:numCache>
            </c:numRef>
          </c:val>
        </c:ser>
        <c:dLbls>
          <c:showLegendKey val="0"/>
          <c:showVal val="0"/>
          <c:showCatName val="0"/>
          <c:showSerName val="0"/>
          <c:showPercent val="0"/>
          <c:showBubbleSize val="0"/>
        </c:dLbls>
        <c:gapWidth val="219"/>
        <c:overlap val="-27"/>
        <c:axId val="-1311328544"/>
        <c:axId val="-1311338880"/>
      </c:barChart>
      <c:catAx>
        <c:axId val="-1311328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1338880"/>
        <c:crosses val="autoZero"/>
        <c:auto val="1"/>
        <c:lblAlgn val="ctr"/>
        <c:lblOffset val="100"/>
        <c:noMultiLvlLbl val="0"/>
      </c:catAx>
      <c:valAx>
        <c:axId val="-1311338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132854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FFC00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[social_media_engagement.xlsx]Pivot Table!PivotTable5</c:name>
    <c:fmtId val="21"/>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s>
    <c:plotArea>
      <c:layout/>
      <c:lineChart>
        <c:grouping val="standard"/>
        <c:varyColors val="0"/>
        <c:ser>
          <c:idx val="0"/>
          <c:order val="0"/>
          <c:tx>
            <c:strRef>
              <c:f>'Pivot Table'!$B$19</c:f>
              <c:strCache>
                <c:ptCount val="1"/>
                <c:pt idx="0">
                  <c:v>Average of Likes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Table'!$A$20:$A$22</c:f>
              <c:strCache>
                <c:ptCount val="3"/>
                <c:pt idx="0">
                  <c:v>Facebook</c:v>
                </c:pt>
                <c:pt idx="1">
                  <c:v>Instagram</c:v>
                </c:pt>
                <c:pt idx="2">
                  <c:v>Twitter</c:v>
                </c:pt>
              </c:strCache>
            </c:strRef>
          </c:cat>
          <c:val>
            <c:numRef>
              <c:f>'Pivot Table'!$B$20:$B$22</c:f>
              <c:numCache>
                <c:formatCode>0</c:formatCode>
                <c:ptCount val="3"/>
                <c:pt idx="0">
                  <c:v>2699.75</c:v>
                </c:pt>
                <c:pt idx="1">
                  <c:v>2999.8333333333335</c:v>
                </c:pt>
                <c:pt idx="2">
                  <c:v>1368.59375</c:v>
                </c:pt>
              </c:numCache>
            </c:numRef>
          </c:val>
          <c:smooth val="0"/>
        </c:ser>
        <c:ser>
          <c:idx val="1"/>
          <c:order val="1"/>
          <c:tx>
            <c:strRef>
              <c:f>'Pivot Table'!$C$19</c:f>
              <c:strCache>
                <c:ptCount val="1"/>
                <c:pt idx="0">
                  <c:v>Average of Comments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Table'!$A$20:$A$22</c:f>
              <c:strCache>
                <c:ptCount val="3"/>
                <c:pt idx="0">
                  <c:v>Facebook</c:v>
                </c:pt>
                <c:pt idx="1">
                  <c:v>Instagram</c:v>
                </c:pt>
                <c:pt idx="2">
                  <c:v>Twitter</c:v>
                </c:pt>
              </c:strCache>
            </c:strRef>
          </c:cat>
          <c:val>
            <c:numRef>
              <c:f>'Pivot Table'!$C$20:$C$22</c:f>
              <c:numCache>
                <c:formatCode>0</c:formatCode>
                <c:ptCount val="3"/>
                <c:pt idx="0">
                  <c:v>248.90625</c:v>
                </c:pt>
                <c:pt idx="1">
                  <c:v>232.44444444444446</c:v>
                </c:pt>
                <c:pt idx="2">
                  <c:v>122.90625</c:v>
                </c:pt>
              </c:numCache>
            </c:numRef>
          </c:val>
          <c:smooth val="0"/>
        </c:ser>
        <c:ser>
          <c:idx val="2"/>
          <c:order val="2"/>
          <c:tx>
            <c:strRef>
              <c:f>'Pivot Table'!$D$19</c:f>
              <c:strCache>
                <c:ptCount val="1"/>
                <c:pt idx="0">
                  <c:v>Average of Shares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 Table'!$A$20:$A$22</c:f>
              <c:strCache>
                <c:ptCount val="3"/>
                <c:pt idx="0">
                  <c:v>Facebook</c:v>
                </c:pt>
                <c:pt idx="1">
                  <c:v>Instagram</c:v>
                </c:pt>
                <c:pt idx="2">
                  <c:v>Twitter</c:v>
                </c:pt>
              </c:strCache>
            </c:strRef>
          </c:cat>
          <c:val>
            <c:numRef>
              <c:f>'Pivot Table'!$D$20:$D$22</c:f>
              <c:numCache>
                <c:formatCode>0</c:formatCode>
                <c:ptCount val="3"/>
                <c:pt idx="0">
                  <c:v>474.375</c:v>
                </c:pt>
                <c:pt idx="1">
                  <c:v>525.16666666666663</c:v>
                </c:pt>
                <c:pt idx="2">
                  <c:v>233.71875</c:v>
                </c:pt>
              </c:numCache>
            </c:numRef>
          </c:val>
          <c:smooth val="0"/>
        </c:ser>
        <c:dLbls>
          <c:showLegendKey val="0"/>
          <c:showVal val="0"/>
          <c:showCatName val="0"/>
          <c:showSerName val="0"/>
          <c:showPercent val="0"/>
          <c:showBubbleSize val="0"/>
        </c:dLbls>
        <c:marker val="1"/>
        <c:smooth val="0"/>
        <c:axId val="-1311339968"/>
        <c:axId val="-1311333440"/>
      </c:lineChart>
      <c:catAx>
        <c:axId val="-1311339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1333440"/>
        <c:crosses val="autoZero"/>
        <c:auto val="1"/>
        <c:lblAlgn val="ctr"/>
        <c:lblOffset val="100"/>
        <c:noMultiLvlLbl val="0"/>
      </c:catAx>
      <c:valAx>
        <c:axId val="-13113334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133996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rgbClr val="FFC00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295275</xdr:colOff>
      <xdr:row>0</xdr:row>
      <xdr:rowOff>57150</xdr:rowOff>
    </xdr:from>
    <xdr:to>
      <xdr:col>16</xdr:col>
      <xdr:colOff>161925</xdr:colOff>
      <xdr:row>4</xdr:row>
      <xdr:rowOff>95249</xdr:rowOff>
    </xdr:to>
    <xdr:sp macro="" textlink="">
      <xdr:nvSpPr>
        <xdr:cNvPr id="2" name="TextBox 1"/>
        <xdr:cNvSpPr txBox="1"/>
      </xdr:nvSpPr>
      <xdr:spPr>
        <a:xfrm>
          <a:off x="2124075" y="57150"/>
          <a:ext cx="7791450" cy="685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ZA" sz="4800" b="0">
              <a:solidFill>
                <a:sysClr val="windowText" lastClr="000000"/>
              </a:solidFill>
              <a:latin typeface="Bell MT" panose="02020503060305020303" pitchFamily="18" charset="0"/>
            </a:rPr>
            <a:t>Social</a:t>
          </a:r>
          <a:r>
            <a:rPr lang="en-ZA" sz="4800" b="0" baseline="0">
              <a:solidFill>
                <a:sysClr val="windowText" lastClr="000000"/>
              </a:solidFill>
              <a:latin typeface="Bell MT" panose="02020503060305020303" pitchFamily="18" charset="0"/>
            </a:rPr>
            <a:t> Media Engagement </a:t>
          </a:r>
          <a:endParaRPr lang="en-ZA" sz="4800" b="0">
            <a:solidFill>
              <a:sysClr val="windowText" lastClr="000000"/>
            </a:solidFill>
            <a:latin typeface="Bell MT" panose="02020503060305020303" pitchFamily="18" charset="0"/>
          </a:endParaRPr>
        </a:p>
      </xdr:txBody>
    </xdr:sp>
    <xdr:clientData/>
  </xdr:twoCellAnchor>
  <xdr:twoCellAnchor>
    <xdr:from>
      <xdr:col>2</xdr:col>
      <xdr:colOff>590551</xdr:colOff>
      <xdr:row>5</xdr:row>
      <xdr:rowOff>57150</xdr:rowOff>
    </xdr:from>
    <xdr:to>
      <xdr:col>9</xdr:col>
      <xdr:colOff>381001</xdr:colOff>
      <xdr:row>28</xdr:row>
      <xdr:rowOff>9525</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47625</xdr:colOff>
      <xdr:row>5</xdr:row>
      <xdr:rowOff>57149</xdr:rowOff>
    </xdr:from>
    <xdr:to>
      <xdr:col>2</xdr:col>
      <xdr:colOff>533400</xdr:colOff>
      <xdr:row>12</xdr:row>
      <xdr:rowOff>66675</xdr:rowOff>
    </xdr:to>
    <mc:AlternateContent xmlns:mc="http://schemas.openxmlformats.org/markup-compatibility/2006" xmlns:a14="http://schemas.microsoft.com/office/drawing/2010/main">
      <mc:Choice Requires="a14">
        <xdr:graphicFrame macro="">
          <xdr:nvGraphicFramePr>
            <xdr:cNvPr id="5" name="Platform"/>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mlns="">
        <xdr:sp macro="" textlink="">
          <xdr:nvSpPr>
            <xdr:cNvPr id="0" name=""/>
            <xdr:cNvSpPr>
              <a:spLocks noTextEdit="1"/>
            </xdr:cNvSpPr>
          </xdr:nvSpPr>
          <xdr:spPr>
            <a:xfrm>
              <a:off x="47625" y="800100"/>
              <a:ext cx="1704975" cy="112395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57150</xdr:colOff>
      <xdr:row>12</xdr:row>
      <xdr:rowOff>95250</xdr:rowOff>
    </xdr:from>
    <xdr:to>
      <xdr:col>2</xdr:col>
      <xdr:colOff>533400</xdr:colOff>
      <xdr:row>30</xdr:row>
      <xdr:rowOff>38099</xdr:rowOff>
    </xdr:to>
    <mc:AlternateContent xmlns:mc="http://schemas.openxmlformats.org/markup-compatibility/2006" xmlns:a14="http://schemas.microsoft.com/office/drawing/2010/main">
      <mc:Choice Requires="a14">
        <xdr:graphicFrame macro="">
          <xdr:nvGraphicFramePr>
            <xdr:cNvPr id="6" name="Post Date "/>
            <xdr:cNvGraphicFramePr/>
          </xdr:nvGraphicFramePr>
          <xdr:xfrm>
            <a:off x="0" y="0"/>
            <a:ext cx="0" cy="0"/>
          </xdr:xfrm>
          <a:graphic>
            <a:graphicData uri="http://schemas.microsoft.com/office/drawing/2010/slicer">
              <sle:slicer xmlns:sle="http://schemas.microsoft.com/office/drawing/2010/slicer" name="Post Date "/>
            </a:graphicData>
          </a:graphic>
        </xdr:graphicFrame>
      </mc:Choice>
      <mc:Fallback xmlns="">
        <xdr:sp macro="" textlink="">
          <xdr:nvSpPr>
            <xdr:cNvPr id="0" name=""/>
            <xdr:cNvSpPr>
              <a:spLocks noTextEdit="1"/>
            </xdr:cNvSpPr>
          </xdr:nvSpPr>
          <xdr:spPr>
            <a:xfrm>
              <a:off x="57150" y="1990724"/>
              <a:ext cx="1695450" cy="290512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333376</xdr:colOff>
      <xdr:row>5</xdr:row>
      <xdr:rowOff>57151</xdr:rowOff>
    </xdr:from>
    <xdr:to>
      <xdr:col>20</xdr:col>
      <xdr:colOff>295276</xdr:colOff>
      <xdr:row>17</xdr:row>
      <xdr:rowOff>76201</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428625</xdr:colOff>
      <xdr:row>5</xdr:row>
      <xdr:rowOff>57150</xdr:rowOff>
    </xdr:from>
    <xdr:to>
      <xdr:col>16</xdr:col>
      <xdr:colOff>285750</xdr:colOff>
      <xdr:row>28</xdr:row>
      <xdr:rowOff>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342900</xdr:colOff>
      <xdr:row>17</xdr:row>
      <xdr:rowOff>123825</xdr:rowOff>
    </xdr:from>
    <xdr:to>
      <xdr:col>20</xdr:col>
      <xdr:colOff>295275</xdr:colOff>
      <xdr:row>28</xdr:row>
      <xdr:rowOff>9524</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Tiyani Mbhalati" refreshedDate="45923.382496990744" createdVersion="5" refreshedVersion="5" minRefreshableVersion="3" recordCount="100">
  <cacheSource type="worksheet">
    <worksheetSource ref="A1:K101" sheet="Worksheet"/>
  </cacheSource>
  <cacheFields count="11">
    <cacheField name="Post ID" numFmtId="0">
      <sharedItems containsSemiMixedTypes="0" containsString="0" containsNumber="1" containsInteger="1" minValue="1" maxValue="100"/>
    </cacheField>
    <cacheField name="Platform" numFmtId="0">
      <sharedItems count="3">
        <s v="Facebook"/>
        <s v="Instagram"/>
        <s v="Twitter"/>
      </sharedItems>
    </cacheField>
    <cacheField name="Post Type" numFmtId="0">
      <sharedItems count="5">
        <s v="Image"/>
        <s v="Carousel"/>
        <s v="Poll"/>
        <s v="Video"/>
        <s v="Text"/>
      </sharedItems>
    </cacheField>
    <cacheField name="Post Date " numFmtId="14">
      <sharedItems containsSemiMixedTypes="0" containsNonDate="0" containsDate="1" containsString="0" minDate="2023-01-01T00:00:00" maxDate="2024-01-01T00:00:00" count="87">
        <d v="2023-08-17T00:00:00"/>
        <d v="2023-05-14T00:00:00"/>
        <d v="2023-02-21T00:00:00"/>
        <d v="2023-11-16T00:00:00"/>
        <d v="2023-05-23T00:00:00"/>
        <d v="2023-05-05T00:00:00"/>
        <d v="2023-02-26T00:00:00"/>
        <d v="2023-10-28T00:00:00"/>
        <d v="2023-05-02T00:00:00"/>
        <d v="2023-05-11T00:00:00"/>
        <d v="2023-12-08T00:00:00"/>
        <d v="2023-06-15T00:00:00"/>
        <d v="2023-11-11T00:00:00"/>
        <d v="2023-09-30T00:00:00"/>
        <d v="2023-01-09T00:00:00"/>
        <d v="2023-02-10T00:00:00"/>
        <d v="2023-07-05T00:00:00"/>
        <d v="2023-07-23T00:00:00"/>
        <d v="2023-11-20T00:00:00"/>
        <d v="2023-02-02T00:00:00"/>
        <d v="2023-01-30T00:00:00"/>
        <d v="2023-10-02T00:00:00"/>
        <d v="2023-01-01T00:00:00"/>
        <d v="2023-05-17T00:00:00"/>
        <d v="2023-10-05T00:00:00"/>
        <d v="2023-10-06T00:00:00"/>
        <d v="2023-03-01T00:00:00"/>
        <d v="2023-01-07T00:00:00"/>
        <d v="2023-02-03T00:00:00"/>
        <d v="2023-09-10T00:00:00"/>
        <d v="2023-07-01T00:00:00"/>
        <d v="2023-09-27T00:00:00"/>
        <d v="2023-02-09T00:00:00"/>
        <d v="2023-06-06T00:00:00"/>
        <d v="2023-04-08T00:00:00"/>
        <d v="2023-08-04T00:00:00"/>
        <d v="2023-12-27T00:00:00"/>
        <d v="2023-11-23T00:00:00"/>
        <d v="2023-03-31T00:00:00"/>
        <d v="2023-07-06T00:00:00"/>
        <d v="2023-12-01T00:00:00"/>
        <d v="2023-05-16T00:00:00"/>
        <d v="2023-08-08T00:00:00"/>
        <d v="2023-03-22T00:00:00"/>
        <d v="2023-04-17T00:00:00"/>
        <d v="2023-07-12T00:00:00"/>
        <d v="2023-02-14T00:00:00"/>
        <d v="2023-07-14T00:00:00"/>
        <d v="2023-11-12T00:00:00"/>
        <d v="2023-01-21T00:00:00"/>
        <d v="2023-03-13T00:00:00"/>
        <d v="2023-07-13T00:00:00"/>
        <d v="2023-12-24T00:00:00"/>
        <d v="2023-05-19T00:00:00"/>
        <d v="2023-12-31T00:00:00"/>
        <d v="2023-01-27T00:00:00"/>
        <d v="2023-05-15T00:00:00"/>
        <d v="2023-04-19T00:00:00"/>
        <d v="2023-09-20T00:00:00"/>
        <d v="2023-01-03T00:00:00"/>
        <d v="2023-04-23T00:00:00"/>
        <d v="2023-12-28T00:00:00"/>
        <d v="2023-10-14T00:00:00"/>
        <d v="2023-06-12T00:00:00"/>
        <d v="2023-04-10T00:00:00"/>
        <d v="2023-07-18T00:00:00"/>
        <d v="2023-04-14T00:00:00"/>
        <d v="2023-07-26T00:00:00"/>
        <d v="2023-07-27T00:00:00"/>
        <d v="2023-01-19T00:00:00"/>
        <d v="2023-12-13T00:00:00"/>
        <d v="2023-06-25T00:00:00"/>
        <d v="2023-01-04T00:00:00"/>
        <d v="2023-11-19T00:00:00"/>
        <d v="2023-12-06T00:00:00"/>
        <d v="2023-10-03T00:00:00"/>
        <d v="2023-11-25T00:00:00"/>
        <d v="2023-05-03T00:00:00"/>
        <d v="2023-03-19T00:00:00"/>
        <d v="2023-09-15T00:00:00"/>
        <d v="2023-02-23T00:00:00"/>
        <d v="2023-05-07T00:00:00"/>
        <d v="2023-11-27T00:00:00"/>
        <d v="2023-03-07T00:00:00"/>
        <d v="2023-10-27T00:00:00"/>
        <d v="2023-08-05T00:00:00"/>
        <d v="2023-12-29T00:00:00"/>
      </sharedItems>
      <fieldGroup base="3">
        <rangePr groupBy="months" startDate="2023-01-01T00:00:00" endDate="2024-01-01T00:00:00"/>
        <groupItems count="14">
          <s v="&lt;2023-01-01"/>
          <s v="Jan"/>
          <s v="Feb"/>
          <s v="Mar"/>
          <s v="Apr"/>
          <s v="May"/>
          <s v="Jun"/>
          <s v="Jul"/>
          <s v="Aug"/>
          <s v="Sep"/>
          <s v="Oct"/>
          <s v="Nov"/>
          <s v="Dec"/>
          <s v="&gt;2024-01-01"/>
        </groupItems>
      </fieldGroup>
    </cacheField>
    <cacheField name="Post Time" numFmtId="20">
      <sharedItems containsSemiMixedTypes="0" containsNonDate="0" containsDate="1" containsString="0" minDate="1899-12-30T00:00:00" maxDate="1899-12-30T23:45:00"/>
    </cacheField>
    <cacheField name="Post Day" numFmtId="0">
      <sharedItems/>
    </cacheField>
    <cacheField name="Likes" numFmtId="0">
      <sharedItems containsSemiMixedTypes="0" containsString="0" containsNumber="1" containsInteger="1" minValue="15" maxValue="5000"/>
    </cacheField>
    <cacheField name="Comments" numFmtId="0">
      <sharedItems containsSemiMixedTypes="0" containsString="0" containsNumber="1" containsInteger="1" minValue="10" maxValue="500"/>
    </cacheField>
    <cacheField name="Shares" numFmtId="0">
      <sharedItems containsSemiMixedTypes="0" containsString="0" containsNumber="1" containsInteger="1" minValue="16" maxValue="993"/>
    </cacheField>
    <cacheField name="Sentiment Score" numFmtId="0">
      <sharedItems/>
    </cacheField>
    <cacheField name="Sentiment Star Rating" numFmtId="0">
      <sharedItems containsSemiMixedTypes="0" containsString="0" containsNumber="1" containsInteger="1" minValue="1" maxValue="5"/>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100">
  <r>
    <n v="1"/>
    <x v="0"/>
    <x v="0"/>
    <x v="0"/>
    <d v="1899-12-30T14:45:00"/>
    <s v="Thursday"/>
    <n v="2121"/>
    <n v="474"/>
    <n v="628"/>
    <s v="Positive"/>
    <n v="5"/>
  </r>
  <r>
    <n v="2"/>
    <x v="0"/>
    <x v="1"/>
    <x v="1"/>
    <d v="1899-12-30T00:45:00"/>
    <s v="Sunday"/>
    <n v="3660"/>
    <n v="432"/>
    <n v="694"/>
    <s v="Neutral"/>
    <n v="3"/>
  </r>
  <r>
    <n v="3"/>
    <x v="1"/>
    <x v="2"/>
    <x v="2"/>
    <d v="1899-12-30T16:15:00"/>
    <s v="Tuesday"/>
    <n v="4955"/>
    <n v="408"/>
    <n v="688"/>
    <s v="Negative"/>
    <n v="1"/>
  </r>
  <r>
    <n v="4"/>
    <x v="2"/>
    <x v="0"/>
    <x v="3"/>
    <d v="1899-12-30T00:45:00"/>
    <s v="Thursday"/>
    <n v="1183"/>
    <n v="90"/>
    <n v="187"/>
    <s v="Negative"/>
    <n v="1"/>
  </r>
  <r>
    <n v="5"/>
    <x v="2"/>
    <x v="3"/>
    <x v="4"/>
    <d v="1899-12-30T00:30:00"/>
    <s v="Tuesday"/>
    <n v="3499"/>
    <n v="247"/>
    <n v="286"/>
    <s v="Positive"/>
    <n v="5"/>
  </r>
  <r>
    <n v="6"/>
    <x v="1"/>
    <x v="1"/>
    <x v="5"/>
    <d v="1899-12-30T20:00:00"/>
    <s v="Friday"/>
    <n v="256"/>
    <n v="186"/>
    <n v="211"/>
    <s v="Neutral"/>
    <n v="3"/>
  </r>
  <r>
    <n v="7"/>
    <x v="1"/>
    <x v="0"/>
    <x v="6"/>
    <d v="1899-12-30T11:45:00"/>
    <s v="Sunday"/>
    <n v="1982"/>
    <n v="30"/>
    <n v="906"/>
    <s v="Positive"/>
    <n v="5"/>
  </r>
  <r>
    <n v="8"/>
    <x v="1"/>
    <x v="4"/>
    <x v="7"/>
    <d v="1899-12-30T19:30:00"/>
    <s v="Saturday"/>
    <n v="1274"/>
    <n v="45"/>
    <n v="216"/>
    <s v="Neutral"/>
    <n v="3"/>
  </r>
  <r>
    <n v="9"/>
    <x v="0"/>
    <x v="3"/>
    <x v="8"/>
    <d v="1899-12-30T06:15:00"/>
    <s v="Tuesday"/>
    <n v="317"/>
    <n v="249"/>
    <n v="221"/>
    <s v="Neutral"/>
    <n v="3"/>
  </r>
  <r>
    <n v="10"/>
    <x v="2"/>
    <x v="1"/>
    <x v="9"/>
    <d v="1899-12-30T11:00:00"/>
    <s v="Thursday"/>
    <n v="1878"/>
    <n v="225"/>
    <n v="438"/>
    <s v="Neutral"/>
    <n v="3"/>
  </r>
  <r>
    <n v="11"/>
    <x v="2"/>
    <x v="4"/>
    <x v="10"/>
    <d v="1899-12-30T02:15:00"/>
    <s v="Friday"/>
    <n v="1446"/>
    <n v="44"/>
    <n v="52"/>
    <s v="Negative"/>
    <n v="1"/>
  </r>
  <r>
    <n v="12"/>
    <x v="2"/>
    <x v="3"/>
    <x v="11"/>
    <d v="1899-12-30T03:15:00"/>
    <s v="Thursday"/>
    <n v="304"/>
    <n v="42"/>
    <n v="89"/>
    <s v="Positive"/>
    <n v="5"/>
  </r>
  <r>
    <n v="13"/>
    <x v="0"/>
    <x v="1"/>
    <x v="12"/>
    <d v="1899-12-30T15:45:00"/>
    <s v="Saturday"/>
    <n v="45"/>
    <n v="78"/>
    <n v="375"/>
    <s v="Negative"/>
    <n v="1"/>
  </r>
  <r>
    <n v="14"/>
    <x v="2"/>
    <x v="4"/>
    <x v="13"/>
    <d v="1899-12-30T10:30:00"/>
    <s v="Saturday"/>
    <n v="1333"/>
    <n v="144"/>
    <n v="123"/>
    <s v="Positive"/>
    <n v="5"/>
  </r>
  <r>
    <n v="15"/>
    <x v="0"/>
    <x v="1"/>
    <x v="14"/>
    <d v="1899-12-30T20:00:00"/>
    <s v="Monday"/>
    <n v="889"/>
    <n v="314"/>
    <n v="262"/>
    <s v="Positive"/>
    <n v="5"/>
  </r>
  <r>
    <n v="16"/>
    <x v="2"/>
    <x v="0"/>
    <x v="15"/>
    <d v="1899-12-30T13:00:00"/>
    <s v="Friday"/>
    <n v="2348"/>
    <n v="154"/>
    <n v="18"/>
    <s v="Neutral"/>
    <n v="3"/>
  </r>
  <r>
    <n v="17"/>
    <x v="1"/>
    <x v="2"/>
    <x v="16"/>
    <d v="1899-12-30T05:15:00"/>
    <s v="Wednesday"/>
    <n v="2872"/>
    <n v="10"/>
    <n v="736"/>
    <s v="Positive"/>
    <n v="5"/>
  </r>
  <r>
    <n v="18"/>
    <x v="2"/>
    <x v="4"/>
    <x v="17"/>
    <d v="1899-12-30T05:45:00"/>
    <s v="Sunday"/>
    <n v="512"/>
    <n v="123"/>
    <n v="338"/>
    <s v="Neutral"/>
    <n v="3"/>
  </r>
  <r>
    <n v="19"/>
    <x v="2"/>
    <x v="4"/>
    <x v="18"/>
    <d v="1899-12-30T02:00:00"/>
    <s v="Monday"/>
    <n v="2013"/>
    <n v="122"/>
    <n v="183"/>
    <s v="Positive"/>
    <n v="5"/>
  </r>
  <r>
    <n v="20"/>
    <x v="0"/>
    <x v="0"/>
    <x v="19"/>
    <d v="1899-12-30T16:00:00"/>
    <s v="Thursday"/>
    <n v="455"/>
    <n v="86"/>
    <n v="79"/>
    <s v="Positive"/>
    <n v="5"/>
  </r>
  <r>
    <n v="21"/>
    <x v="2"/>
    <x v="2"/>
    <x v="8"/>
    <d v="1899-12-30T06:15:00"/>
    <s v="Tuesday"/>
    <n v="559"/>
    <n v="136"/>
    <n v="55"/>
    <s v="Neutral"/>
    <n v="3"/>
  </r>
  <r>
    <n v="22"/>
    <x v="2"/>
    <x v="1"/>
    <x v="20"/>
    <d v="1899-12-30T13:30:00"/>
    <s v="Monday"/>
    <n v="1961"/>
    <n v="44"/>
    <n v="439"/>
    <s v="Positive"/>
    <n v="5"/>
  </r>
  <r>
    <n v="23"/>
    <x v="2"/>
    <x v="4"/>
    <x v="21"/>
    <d v="1899-12-30T12:15:00"/>
    <s v="Monday"/>
    <n v="332"/>
    <n v="109"/>
    <n v="348"/>
    <s v="Positive"/>
    <n v="5"/>
  </r>
  <r>
    <n v="24"/>
    <x v="1"/>
    <x v="1"/>
    <x v="22"/>
    <d v="1899-12-30T20:00:00"/>
    <s v="Sunday"/>
    <n v="5000"/>
    <n v="80"/>
    <n v="399"/>
    <s v="Positive"/>
    <n v="5"/>
  </r>
  <r>
    <n v="25"/>
    <x v="2"/>
    <x v="2"/>
    <x v="23"/>
    <d v="1899-12-30T00:15:00"/>
    <s v="Wednesday"/>
    <n v="898"/>
    <n v="130"/>
    <n v="480"/>
    <s v="Positive"/>
    <n v="5"/>
  </r>
  <r>
    <n v="26"/>
    <x v="0"/>
    <x v="1"/>
    <x v="24"/>
    <d v="1899-12-30T06:30:00"/>
    <s v="Thursday"/>
    <n v="1992"/>
    <n v="70"/>
    <n v="515"/>
    <s v="Negative"/>
    <n v="1"/>
  </r>
  <r>
    <n v="27"/>
    <x v="1"/>
    <x v="4"/>
    <x v="25"/>
    <d v="1899-12-30T10:00:00"/>
    <s v="Friday"/>
    <n v="3161"/>
    <n v="162"/>
    <n v="137"/>
    <s v="Positive"/>
    <n v="5"/>
  </r>
  <r>
    <n v="28"/>
    <x v="0"/>
    <x v="2"/>
    <x v="26"/>
    <d v="1899-12-30T08:00:00"/>
    <s v="Wednesday"/>
    <n v="2083"/>
    <n v="500"/>
    <n v="388"/>
    <s v="Neutral"/>
    <n v="3"/>
  </r>
  <r>
    <n v="29"/>
    <x v="0"/>
    <x v="0"/>
    <x v="27"/>
    <d v="1899-12-30T10:30:00"/>
    <s v="Saturday"/>
    <n v="548"/>
    <n v="153"/>
    <n v="731"/>
    <s v="Negative"/>
    <n v="1"/>
  </r>
  <r>
    <n v="30"/>
    <x v="0"/>
    <x v="1"/>
    <x v="28"/>
    <d v="1899-12-30T00:30:00"/>
    <s v="Friday"/>
    <n v="4594"/>
    <n v="216"/>
    <n v="739"/>
    <s v="Positive"/>
    <n v="5"/>
  </r>
  <r>
    <n v="31"/>
    <x v="0"/>
    <x v="2"/>
    <x v="29"/>
    <d v="1899-12-30T13:45:00"/>
    <s v="Sunday"/>
    <n v="4795"/>
    <n v="449"/>
    <n v="978"/>
    <s v="Negative"/>
    <n v="1"/>
  </r>
  <r>
    <n v="32"/>
    <x v="1"/>
    <x v="0"/>
    <x v="30"/>
    <d v="1899-12-30T14:45:00"/>
    <s v="Saturday"/>
    <n v="4665"/>
    <n v="202"/>
    <n v="183"/>
    <s v="Positive"/>
    <n v="5"/>
  </r>
  <r>
    <n v="33"/>
    <x v="2"/>
    <x v="3"/>
    <x v="31"/>
    <d v="1899-12-30T19:00:00"/>
    <s v="Wednesday"/>
    <n v="119"/>
    <n v="147"/>
    <n v="240"/>
    <s v="Positive"/>
    <n v="5"/>
  </r>
  <r>
    <n v="34"/>
    <x v="2"/>
    <x v="2"/>
    <x v="32"/>
    <d v="1899-12-30T15:30:00"/>
    <s v="Thursday"/>
    <n v="2253"/>
    <n v="162"/>
    <n v="28"/>
    <s v="Positive"/>
    <n v="5"/>
  </r>
  <r>
    <n v="35"/>
    <x v="1"/>
    <x v="0"/>
    <x v="33"/>
    <d v="1899-12-30T19:30:00"/>
    <s v="Tuesday"/>
    <n v="1309"/>
    <n v="201"/>
    <n v="852"/>
    <s v="Negative"/>
    <n v="1"/>
  </r>
  <r>
    <n v="36"/>
    <x v="0"/>
    <x v="3"/>
    <x v="34"/>
    <d v="1899-12-30T19:15:00"/>
    <s v="Saturday"/>
    <n v="5000"/>
    <n v="500"/>
    <n v="43"/>
    <s v="Positive"/>
    <n v="5"/>
  </r>
  <r>
    <n v="37"/>
    <x v="0"/>
    <x v="3"/>
    <x v="9"/>
    <d v="1899-12-30T00:30:00"/>
    <s v="Thursday"/>
    <n v="4245"/>
    <n v="59"/>
    <n v="83"/>
    <s v="Neutral"/>
    <n v="3"/>
  </r>
  <r>
    <n v="38"/>
    <x v="2"/>
    <x v="2"/>
    <x v="8"/>
    <d v="1899-12-30T00:30:00"/>
    <s v="Tuesday"/>
    <n v="2463"/>
    <n v="187"/>
    <n v="445"/>
    <s v="Positive"/>
    <n v="5"/>
  </r>
  <r>
    <n v="39"/>
    <x v="0"/>
    <x v="3"/>
    <x v="22"/>
    <d v="1899-12-30T06:00:00"/>
    <s v="Sunday"/>
    <n v="5000"/>
    <n v="430"/>
    <n v="980"/>
    <s v="Neutral"/>
    <n v="3"/>
  </r>
  <r>
    <n v="40"/>
    <x v="1"/>
    <x v="1"/>
    <x v="35"/>
    <d v="1899-12-30T12:45:00"/>
    <s v="Friday"/>
    <n v="447"/>
    <n v="333"/>
    <n v="845"/>
    <s v="Negative"/>
    <n v="1"/>
  </r>
  <r>
    <n v="41"/>
    <x v="2"/>
    <x v="1"/>
    <x v="36"/>
    <d v="1899-12-30T11:30:00"/>
    <s v="Wednesday"/>
    <n v="667"/>
    <n v="176"/>
    <n v="461"/>
    <s v="Positive"/>
    <n v="5"/>
  </r>
  <r>
    <n v="42"/>
    <x v="1"/>
    <x v="3"/>
    <x v="37"/>
    <d v="1899-12-30T02:00:00"/>
    <s v="Thursday"/>
    <n v="4929"/>
    <n v="252"/>
    <n v="730"/>
    <s v="Negative"/>
    <n v="1"/>
  </r>
  <r>
    <n v="43"/>
    <x v="2"/>
    <x v="1"/>
    <x v="38"/>
    <d v="1899-12-30T16:00:00"/>
    <s v="Friday"/>
    <n v="2586"/>
    <n v="97"/>
    <n v="85"/>
    <s v="Positive"/>
    <n v="5"/>
  </r>
  <r>
    <n v="44"/>
    <x v="1"/>
    <x v="4"/>
    <x v="39"/>
    <d v="1899-12-30T08:00:00"/>
    <s v="Thursday"/>
    <n v="3259"/>
    <n v="50"/>
    <n v="177"/>
    <s v="Negative"/>
    <n v="1"/>
  </r>
  <r>
    <n v="45"/>
    <x v="2"/>
    <x v="3"/>
    <x v="40"/>
    <d v="1899-12-30T10:00:00"/>
    <s v="Friday"/>
    <n v="2236"/>
    <n v="132"/>
    <n v="118"/>
    <s v="Positive"/>
    <n v="5"/>
  </r>
  <r>
    <n v="46"/>
    <x v="1"/>
    <x v="4"/>
    <x v="41"/>
    <d v="1899-12-30T22:15:00"/>
    <s v="Tuesday"/>
    <n v="2251"/>
    <n v="380"/>
    <n v="427"/>
    <s v="Positive"/>
    <n v="5"/>
  </r>
  <r>
    <n v="47"/>
    <x v="0"/>
    <x v="2"/>
    <x v="42"/>
    <d v="1899-12-30T17:45:00"/>
    <s v="Tuesday"/>
    <n v="4726"/>
    <n v="44"/>
    <n v="993"/>
    <s v="Negative"/>
    <n v="1"/>
  </r>
  <r>
    <n v="48"/>
    <x v="0"/>
    <x v="3"/>
    <x v="43"/>
    <d v="1899-12-30T03:15:00"/>
    <s v="Wednesday"/>
    <n v="5000"/>
    <n v="232"/>
    <n v="16"/>
    <s v="Negative"/>
    <n v="1"/>
  </r>
  <r>
    <n v="49"/>
    <x v="2"/>
    <x v="0"/>
    <x v="44"/>
    <d v="1899-12-30T15:00:00"/>
    <s v="Monday"/>
    <n v="725"/>
    <n v="169"/>
    <n v="298"/>
    <s v="Neutral"/>
    <n v="3"/>
  </r>
  <r>
    <n v="50"/>
    <x v="1"/>
    <x v="4"/>
    <x v="45"/>
    <d v="1899-12-30T00:00:00"/>
    <s v="Wednesday"/>
    <n v="1551"/>
    <n v="206"/>
    <n v="127"/>
    <s v="Negative"/>
    <n v="1"/>
  </r>
  <r>
    <n v="51"/>
    <x v="2"/>
    <x v="4"/>
    <x v="46"/>
    <d v="1899-12-30T18:00:00"/>
    <s v="Tuesday"/>
    <n v="1268"/>
    <n v="73"/>
    <n v="251"/>
    <s v="Positive"/>
    <n v="5"/>
  </r>
  <r>
    <n v="52"/>
    <x v="2"/>
    <x v="0"/>
    <x v="47"/>
    <d v="1899-12-30T15:00:00"/>
    <s v="Friday"/>
    <n v="950"/>
    <n v="113"/>
    <n v="327"/>
    <s v="Positive"/>
    <n v="5"/>
  </r>
  <r>
    <n v="53"/>
    <x v="2"/>
    <x v="3"/>
    <x v="48"/>
    <d v="1899-12-30T17:30:00"/>
    <s v="Sunday"/>
    <n v="1498"/>
    <n v="46"/>
    <n v="96"/>
    <s v="Positive"/>
    <n v="5"/>
  </r>
  <r>
    <n v="54"/>
    <x v="1"/>
    <x v="0"/>
    <x v="49"/>
    <d v="1899-12-30T01:00:00"/>
    <s v="Saturday"/>
    <n v="4297"/>
    <n v="360"/>
    <n v="825"/>
    <s v="Negative"/>
    <n v="1"/>
  </r>
  <r>
    <n v="55"/>
    <x v="2"/>
    <x v="1"/>
    <x v="21"/>
    <d v="1899-12-30T23:30:00"/>
    <s v="Monday"/>
    <n v="592"/>
    <n v="34"/>
    <n v="496"/>
    <s v="Neutral"/>
    <n v="3"/>
  </r>
  <r>
    <n v="56"/>
    <x v="1"/>
    <x v="0"/>
    <x v="50"/>
    <d v="1899-12-30T23:15:00"/>
    <s v="Monday"/>
    <n v="3401"/>
    <n v="190"/>
    <n v="230"/>
    <s v="Negative"/>
    <n v="1"/>
  </r>
  <r>
    <n v="57"/>
    <x v="1"/>
    <x v="3"/>
    <x v="51"/>
    <d v="1899-12-30T09:15:00"/>
    <s v="Thursday"/>
    <n v="4846"/>
    <n v="134"/>
    <n v="498"/>
    <s v="Neutral"/>
    <n v="3"/>
  </r>
  <r>
    <n v="58"/>
    <x v="0"/>
    <x v="3"/>
    <x v="36"/>
    <d v="1899-12-30T04:00:00"/>
    <s v="Wednesday"/>
    <n v="2204"/>
    <n v="116"/>
    <n v="728"/>
    <s v="Neutral"/>
    <n v="3"/>
  </r>
  <r>
    <n v="59"/>
    <x v="2"/>
    <x v="3"/>
    <x v="52"/>
    <d v="1899-12-30T07:45:00"/>
    <s v="Sunday"/>
    <n v="344"/>
    <n v="99"/>
    <n v="194"/>
    <s v="Neutral"/>
    <n v="3"/>
  </r>
  <r>
    <n v="60"/>
    <x v="1"/>
    <x v="1"/>
    <x v="53"/>
    <d v="1899-12-30T04:30:00"/>
    <s v="Friday"/>
    <n v="4763"/>
    <n v="332"/>
    <n v="956"/>
    <s v="Positive"/>
    <n v="5"/>
  </r>
  <r>
    <n v="61"/>
    <x v="1"/>
    <x v="3"/>
    <x v="54"/>
    <d v="1899-12-30T22:30:00"/>
    <s v="Sunday"/>
    <n v="3544"/>
    <n v="167"/>
    <n v="761"/>
    <s v="Negative"/>
    <n v="1"/>
  </r>
  <r>
    <n v="62"/>
    <x v="0"/>
    <x v="1"/>
    <x v="55"/>
    <d v="1899-12-30T15:45:00"/>
    <s v="Friday"/>
    <n v="3742"/>
    <n v="227"/>
    <n v="849"/>
    <s v="Negative"/>
    <n v="1"/>
  </r>
  <r>
    <n v="63"/>
    <x v="2"/>
    <x v="0"/>
    <x v="56"/>
    <d v="1899-12-30T06:30:00"/>
    <s v="Monday"/>
    <n v="227"/>
    <n v="163"/>
    <n v="127"/>
    <s v="Neutral"/>
    <n v="3"/>
  </r>
  <r>
    <n v="64"/>
    <x v="1"/>
    <x v="1"/>
    <x v="57"/>
    <d v="1899-12-30T19:45:00"/>
    <s v="Wednesday"/>
    <n v="130"/>
    <n v="452"/>
    <n v="724"/>
    <s v="Neutral"/>
    <n v="3"/>
  </r>
  <r>
    <n v="65"/>
    <x v="1"/>
    <x v="0"/>
    <x v="58"/>
    <d v="1899-12-30T06:00:00"/>
    <s v="Wednesday"/>
    <n v="3982"/>
    <n v="314"/>
    <n v="326"/>
    <s v="Positive"/>
    <n v="5"/>
  </r>
  <r>
    <n v="66"/>
    <x v="0"/>
    <x v="4"/>
    <x v="59"/>
    <d v="1899-12-30T03:00:00"/>
    <s v="Tuesday"/>
    <n v="2265"/>
    <n v="39"/>
    <n v="318"/>
    <s v="Positive"/>
    <n v="5"/>
  </r>
  <r>
    <n v="67"/>
    <x v="0"/>
    <x v="1"/>
    <x v="60"/>
    <d v="1899-12-30T08:15:00"/>
    <s v="Sunday"/>
    <n v="2026"/>
    <n v="390"/>
    <n v="165"/>
    <s v="Negative"/>
    <n v="1"/>
  </r>
  <r>
    <n v="68"/>
    <x v="1"/>
    <x v="3"/>
    <x v="61"/>
    <d v="1899-12-30T16:45:00"/>
    <s v="Thursday"/>
    <n v="560"/>
    <n v="486"/>
    <n v="677"/>
    <s v="Negative"/>
    <n v="1"/>
  </r>
  <r>
    <n v="69"/>
    <x v="2"/>
    <x v="0"/>
    <x v="62"/>
    <d v="1899-12-30T18:45:00"/>
    <s v="Saturday"/>
    <n v="187"/>
    <n v="89"/>
    <n v="284"/>
    <s v="Neutral"/>
    <n v="3"/>
  </r>
  <r>
    <n v="70"/>
    <x v="0"/>
    <x v="4"/>
    <x v="63"/>
    <d v="1899-12-30T09:30:00"/>
    <s v="Monday"/>
    <n v="3094"/>
    <n v="86"/>
    <n v="965"/>
    <s v="Negative"/>
    <n v="1"/>
  </r>
  <r>
    <n v="71"/>
    <x v="1"/>
    <x v="3"/>
    <x v="64"/>
    <d v="1899-12-30T00:00:00"/>
    <s v="Monday"/>
    <n v="3398"/>
    <n v="261"/>
    <n v="630"/>
    <s v="Neutral"/>
    <n v="3"/>
  </r>
  <r>
    <n v="72"/>
    <x v="0"/>
    <x v="1"/>
    <x v="5"/>
    <d v="1899-12-30T16:45:00"/>
    <s v="Friday"/>
    <n v="1690"/>
    <n v="257"/>
    <n v="656"/>
    <s v="Neutral"/>
    <n v="3"/>
  </r>
  <r>
    <n v="73"/>
    <x v="0"/>
    <x v="4"/>
    <x v="65"/>
    <d v="1899-12-30T22:00:00"/>
    <s v="Tuesday"/>
    <n v="3026"/>
    <n v="11"/>
    <n v="761"/>
    <s v="Positive"/>
    <n v="5"/>
  </r>
  <r>
    <n v="74"/>
    <x v="1"/>
    <x v="3"/>
    <x v="66"/>
    <d v="1899-12-30T10:30:00"/>
    <s v="Friday"/>
    <n v="5000"/>
    <n v="454"/>
    <n v="744"/>
    <s v="Positive"/>
    <n v="5"/>
  </r>
  <r>
    <n v="75"/>
    <x v="0"/>
    <x v="3"/>
    <x v="67"/>
    <d v="1899-12-30T20:15:00"/>
    <s v="Wednesday"/>
    <n v="5000"/>
    <n v="500"/>
    <n v="404"/>
    <s v="Positive"/>
    <n v="5"/>
  </r>
  <r>
    <n v="76"/>
    <x v="1"/>
    <x v="4"/>
    <x v="68"/>
    <d v="1899-12-30T19:15:00"/>
    <s v="Thursday"/>
    <n v="2153"/>
    <n v="81"/>
    <n v="114"/>
    <s v="Neutral"/>
    <n v="3"/>
  </r>
  <r>
    <n v="77"/>
    <x v="2"/>
    <x v="1"/>
    <x v="16"/>
    <d v="1899-12-30T18:15:00"/>
    <s v="Wednesday"/>
    <n v="3571"/>
    <n v="102"/>
    <n v="96"/>
    <s v="Positive"/>
    <n v="5"/>
  </r>
  <r>
    <n v="78"/>
    <x v="1"/>
    <x v="2"/>
    <x v="69"/>
    <d v="1899-12-30T07:15:00"/>
    <s v="Thursday"/>
    <n v="2990"/>
    <n v="30"/>
    <n v="365"/>
    <s v="Positive"/>
    <n v="5"/>
  </r>
  <r>
    <n v="79"/>
    <x v="1"/>
    <x v="1"/>
    <x v="70"/>
    <d v="1899-12-30T04:45:00"/>
    <s v="Wednesday"/>
    <n v="4678"/>
    <n v="189"/>
    <n v="785"/>
    <s v="Positive"/>
    <n v="5"/>
  </r>
  <r>
    <n v="80"/>
    <x v="0"/>
    <x v="4"/>
    <x v="71"/>
    <d v="1899-12-30T15:15:00"/>
    <s v="Sunday"/>
    <n v="553"/>
    <n v="320"/>
    <n v="312"/>
    <s v="Positive"/>
    <n v="5"/>
  </r>
  <r>
    <n v="81"/>
    <x v="0"/>
    <x v="3"/>
    <x v="72"/>
    <d v="1899-12-30T18:30:00"/>
    <s v="Wednesday"/>
    <n v="2642"/>
    <n v="33"/>
    <n v="413"/>
    <s v="Neutral"/>
    <n v="3"/>
  </r>
  <r>
    <n v="82"/>
    <x v="1"/>
    <x v="1"/>
    <x v="73"/>
    <d v="1899-12-30T12:30:00"/>
    <s v="Sunday"/>
    <n v="4656"/>
    <n v="314"/>
    <n v="757"/>
    <s v="Negative"/>
    <n v="1"/>
  </r>
  <r>
    <n v="83"/>
    <x v="1"/>
    <x v="3"/>
    <x v="74"/>
    <d v="1899-12-30T04:00:00"/>
    <s v="Wednesday"/>
    <n v="5000"/>
    <n v="173"/>
    <n v="792"/>
    <s v="Negative"/>
    <n v="1"/>
  </r>
  <r>
    <n v="84"/>
    <x v="0"/>
    <x v="1"/>
    <x v="75"/>
    <d v="1899-12-30T19:00:00"/>
    <s v="Tuesday"/>
    <n v="1203"/>
    <n v="263"/>
    <n v="417"/>
    <s v="Negative"/>
    <n v="1"/>
  </r>
  <r>
    <n v="85"/>
    <x v="0"/>
    <x v="4"/>
    <x v="39"/>
    <d v="1899-12-30T07:00:00"/>
    <s v="Thursday"/>
    <n v="2566"/>
    <n v="368"/>
    <n v="304"/>
    <s v="Neutral"/>
    <n v="3"/>
  </r>
  <r>
    <n v="86"/>
    <x v="2"/>
    <x v="4"/>
    <x v="76"/>
    <d v="1899-12-30T07:30:00"/>
    <s v="Saturday"/>
    <n v="2416"/>
    <n v="50"/>
    <n v="62"/>
    <s v="Positive"/>
    <n v="5"/>
  </r>
  <r>
    <n v="87"/>
    <x v="1"/>
    <x v="4"/>
    <x v="4"/>
    <d v="1899-12-30T22:30:00"/>
    <s v="Tuesday"/>
    <n v="15"/>
    <n v="70"/>
    <n v="454"/>
    <s v="Neutral"/>
    <n v="3"/>
  </r>
  <r>
    <n v="88"/>
    <x v="0"/>
    <x v="4"/>
    <x v="77"/>
    <d v="1899-12-30T12:30:00"/>
    <s v="Wednesday"/>
    <n v="3404"/>
    <n v="244"/>
    <n v="67"/>
    <s v="Positive"/>
    <n v="5"/>
  </r>
  <r>
    <n v="89"/>
    <x v="2"/>
    <x v="1"/>
    <x v="77"/>
    <d v="1899-12-30T08:00:00"/>
    <s v="Wednesday"/>
    <n v="2884"/>
    <n v="197"/>
    <n v="339"/>
    <s v="Positive"/>
    <n v="5"/>
  </r>
  <r>
    <n v="90"/>
    <x v="1"/>
    <x v="2"/>
    <x v="78"/>
    <d v="1899-12-30T04:00:00"/>
    <s v="Sunday"/>
    <n v="3195"/>
    <n v="109"/>
    <n v="243"/>
    <s v="Negative"/>
    <n v="1"/>
  </r>
  <r>
    <n v="91"/>
    <x v="0"/>
    <x v="1"/>
    <x v="79"/>
    <d v="1899-12-30T00:45:00"/>
    <s v="Friday"/>
    <n v="3956"/>
    <n v="402"/>
    <n v="462"/>
    <s v="Negative"/>
    <n v="1"/>
  </r>
  <r>
    <n v="92"/>
    <x v="0"/>
    <x v="3"/>
    <x v="80"/>
    <d v="1899-12-30T17:15:00"/>
    <s v="Thursday"/>
    <n v="1857"/>
    <n v="216"/>
    <n v="344"/>
    <s v="Positive"/>
    <n v="5"/>
  </r>
  <r>
    <n v="93"/>
    <x v="1"/>
    <x v="1"/>
    <x v="81"/>
    <d v="1899-12-30T00:30:00"/>
    <s v="Sunday"/>
    <n v="951"/>
    <n v="432"/>
    <n v="734"/>
    <s v="Negative"/>
    <n v="1"/>
  </r>
  <r>
    <n v="94"/>
    <x v="0"/>
    <x v="0"/>
    <x v="82"/>
    <d v="1899-12-30T04:30:00"/>
    <s v="Monday"/>
    <n v="1694"/>
    <n v="207"/>
    <n v="290"/>
    <s v="Positive"/>
    <n v="5"/>
  </r>
  <r>
    <n v="95"/>
    <x v="1"/>
    <x v="2"/>
    <x v="83"/>
    <d v="1899-12-30T19:15:00"/>
    <s v="Tuesday"/>
    <n v="3005"/>
    <n v="124"/>
    <n v="517"/>
    <s v="Positive"/>
    <n v="5"/>
  </r>
  <r>
    <n v="96"/>
    <x v="1"/>
    <x v="1"/>
    <x v="45"/>
    <d v="1899-12-30T17:45:00"/>
    <s v="Wednesday"/>
    <n v="36"/>
    <n v="294"/>
    <n v="911"/>
    <s v="Positive"/>
    <n v="5"/>
  </r>
  <r>
    <n v="97"/>
    <x v="2"/>
    <x v="3"/>
    <x v="84"/>
    <d v="1899-12-30T23:45:00"/>
    <s v="Friday"/>
    <n v="314"/>
    <n v="108"/>
    <n v="458"/>
    <s v="Neutral"/>
    <n v="3"/>
  </r>
  <r>
    <n v="98"/>
    <x v="2"/>
    <x v="4"/>
    <x v="85"/>
    <d v="1899-12-30T08:45:00"/>
    <s v="Saturday"/>
    <n v="229"/>
    <n v="179"/>
    <n v="38"/>
    <s v="Positive"/>
    <n v="5"/>
  </r>
  <r>
    <n v="99"/>
    <x v="1"/>
    <x v="2"/>
    <x v="86"/>
    <d v="1899-12-30T12:15:00"/>
    <s v="Friday"/>
    <n v="5000"/>
    <n v="500"/>
    <n v="204"/>
    <s v="Positive"/>
    <n v="5"/>
  </r>
  <r>
    <n v="100"/>
    <x v="1"/>
    <x v="0"/>
    <x v="33"/>
    <d v="1899-12-30T21:00:00"/>
    <s v="Tuesday"/>
    <n v="4483"/>
    <n v="357"/>
    <n v="25"/>
    <s v="Neutral"/>
    <n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chartFormat="19">
  <location ref="A8:G12" firstHeaderRow="1" firstDataRow="2" firstDataCol="1"/>
  <pivotFields count="11">
    <pivotField showAll="0"/>
    <pivotField axis="axisRow" showAll="0">
      <items count="4">
        <item x="0"/>
        <item x="1"/>
        <item x="2"/>
        <item t="default"/>
      </items>
    </pivotField>
    <pivotField axis="axisCol" dataField="1" showAll="0">
      <items count="6">
        <item x="1"/>
        <item x="0"/>
        <item x="2"/>
        <item x="4"/>
        <item x="3"/>
        <item t="default"/>
      </items>
    </pivotField>
    <pivotField numFmtId="14" showAll="0">
      <items count="15">
        <item x="0"/>
        <item x="1"/>
        <item x="2"/>
        <item x="3"/>
        <item x="4"/>
        <item x="5"/>
        <item x="6"/>
        <item x="7"/>
        <item x="8"/>
        <item x="9"/>
        <item x="10"/>
        <item x="11"/>
        <item x="12"/>
        <item x="13"/>
        <item t="default"/>
      </items>
    </pivotField>
    <pivotField numFmtId="20" showAll="0"/>
    <pivotField showAll="0"/>
    <pivotField showAll="0"/>
    <pivotField showAll="0"/>
    <pivotField showAll="0"/>
    <pivotField showAll="0"/>
    <pivotField showAll="0"/>
  </pivotFields>
  <rowFields count="1">
    <field x="1"/>
  </rowFields>
  <rowItems count="3">
    <i>
      <x/>
    </i>
    <i>
      <x v="1"/>
    </i>
    <i>
      <x v="2"/>
    </i>
  </rowItems>
  <colFields count="1">
    <field x="2"/>
  </colFields>
  <colItems count="6">
    <i>
      <x/>
    </i>
    <i>
      <x v="1"/>
    </i>
    <i>
      <x v="2"/>
    </i>
    <i>
      <x v="3"/>
    </i>
    <i>
      <x v="4"/>
    </i>
    <i t="grand">
      <x/>
    </i>
  </colItems>
  <dataFields count="1">
    <dataField name="Number of posts by Platform" fld="2" subtotal="count" baseField="1" baseItem="0"/>
  </dataFields>
  <formats count="5">
    <format dxfId="4">
      <pivotArea type="all" dataOnly="0" outline="0" fieldPosition="0"/>
    </format>
    <format dxfId="3">
      <pivotArea outline="0" collapsedLevelsAreSubtotals="1" fieldPosition="0"/>
    </format>
    <format dxfId="2">
      <pivotArea dataOnly="0" labelOnly="1" fieldPosition="0">
        <references count="1">
          <reference field="1" count="0"/>
        </references>
      </pivotArea>
    </format>
    <format dxfId="1">
      <pivotArea dataOnly="0" labelOnly="1" fieldPosition="0">
        <references count="1">
          <reference field="2" count="0"/>
        </references>
      </pivotArea>
    </format>
    <format dxfId="0">
      <pivotArea dataOnly="0" labelOnly="1" grandCol="1" outline="0" fieldPosition="0"/>
    </format>
  </formats>
  <chartFormats count="28">
    <chartFormat chart="1" format="0" series="1">
      <pivotArea type="data" outline="0" fieldPosition="0">
        <references count="2">
          <reference field="4294967294" count="1" selected="0">
            <x v="0"/>
          </reference>
          <reference field="2" count="1" selected="0">
            <x v="0"/>
          </reference>
        </references>
      </pivotArea>
    </chartFormat>
    <chartFormat chart="1" format="1" series="1">
      <pivotArea type="data" outline="0" fieldPosition="0">
        <references count="2">
          <reference field="4294967294" count="1" selected="0">
            <x v="0"/>
          </reference>
          <reference field="2" count="1" selected="0">
            <x v="1"/>
          </reference>
        </references>
      </pivotArea>
    </chartFormat>
    <chartFormat chart="1" format="2" series="1">
      <pivotArea type="data" outline="0" fieldPosition="0">
        <references count="2">
          <reference field="4294967294" count="1" selected="0">
            <x v="0"/>
          </reference>
          <reference field="2" count="1" selected="0">
            <x v="2"/>
          </reference>
        </references>
      </pivotArea>
    </chartFormat>
    <chartFormat chart="1" format="3" series="1">
      <pivotArea type="data" outline="0" fieldPosition="0">
        <references count="2">
          <reference field="4294967294" count="1" selected="0">
            <x v="0"/>
          </reference>
          <reference field="2" count="1" selected="0">
            <x v="3"/>
          </reference>
        </references>
      </pivotArea>
    </chartFormat>
    <chartFormat chart="1" format="4" series="1">
      <pivotArea type="data" outline="0" fieldPosition="0">
        <references count="2">
          <reference field="4294967294" count="1" selected="0">
            <x v="0"/>
          </reference>
          <reference field="2" count="1" selected="0">
            <x v="4"/>
          </reference>
        </references>
      </pivotArea>
    </chartFormat>
    <chartFormat chart="3" format="0" series="1">
      <pivotArea type="data" outline="0" fieldPosition="0">
        <references count="2">
          <reference field="4294967294" count="1" selected="0">
            <x v="0"/>
          </reference>
          <reference field="2" count="1" selected="0">
            <x v="0"/>
          </reference>
        </references>
      </pivotArea>
    </chartFormat>
    <chartFormat chart="3" format="1">
      <pivotArea type="data" outline="0" fieldPosition="0">
        <references count="3">
          <reference field="4294967294" count="1" selected="0">
            <x v="0"/>
          </reference>
          <reference field="1" count="1" selected="0">
            <x v="0"/>
          </reference>
          <reference field="2" count="1" selected="0">
            <x v="0"/>
          </reference>
        </references>
      </pivotArea>
    </chartFormat>
    <chartFormat chart="3" format="2">
      <pivotArea type="data" outline="0" fieldPosition="0">
        <references count="3">
          <reference field="4294967294" count="1" selected="0">
            <x v="0"/>
          </reference>
          <reference field="1" count="1" selected="0">
            <x v="1"/>
          </reference>
          <reference field="2" count="1" selected="0">
            <x v="0"/>
          </reference>
        </references>
      </pivotArea>
    </chartFormat>
    <chartFormat chart="3" format="3">
      <pivotArea type="data" outline="0" fieldPosition="0">
        <references count="3">
          <reference field="4294967294" count="1" selected="0">
            <x v="0"/>
          </reference>
          <reference field="1" count="1" selected="0">
            <x v="2"/>
          </reference>
          <reference field="2" count="1" selected="0">
            <x v="0"/>
          </reference>
        </references>
      </pivotArea>
    </chartFormat>
    <chartFormat chart="3" format="4" series="1">
      <pivotArea type="data" outline="0" fieldPosition="0">
        <references count="2">
          <reference field="4294967294" count="1" selected="0">
            <x v="0"/>
          </reference>
          <reference field="2" count="1" selected="0">
            <x v="1"/>
          </reference>
        </references>
      </pivotArea>
    </chartFormat>
    <chartFormat chart="3" format="5" series="1">
      <pivotArea type="data" outline="0" fieldPosition="0">
        <references count="2">
          <reference field="4294967294" count="1" selected="0">
            <x v="0"/>
          </reference>
          <reference field="2" count="1" selected="0">
            <x v="2"/>
          </reference>
        </references>
      </pivotArea>
    </chartFormat>
    <chartFormat chart="3" format="6" series="1">
      <pivotArea type="data" outline="0" fieldPosition="0">
        <references count="2">
          <reference field="4294967294" count="1" selected="0">
            <x v="0"/>
          </reference>
          <reference field="2" count="1" selected="0">
            <x v="3"/>
          </reference>
        </references>
      </pivotArea>
    </chartFormat>
    <chartFormat chart="3" format="7" series="1">
      <pivotArea type="data" outline="0" fieldPosition="0">
        <references count="2">
          <reference field="4294967294" count="1" selected="0">
            <x v="0"/>
          </reference>
          <reference field="2" count="1" selected="0">
            <x v="4"/>
          </reference>
        </references>
      </pivotArea>
    </chartFormat>
    <chartFormat chart="5" format="0" series="1">
      <pivotArea type="data" outline="0" fieldPosition="0">
        <references count="2">
          <reference field="4294967294" count="1" selected="0">
            <x v="0"/>
          </reference>
          <reference field="2" count="1" selected="0">
            <x v="0"/>
          </reference>
        </references>
      </pivotArea>
    </chartFormat>
    <chartFormat chart="5" format="1" series="1">
      <pivotArea type="data" outline="0" fieldPosition="0">
        <references count="2">
          <reference field="4294967294" count="1" selected="0">
            <x v="0"/>
          </reference>
          <reference field="2" count="1" selected="0">
            <x v="1"/>
          </reference>
        </references>
      </pivotArea>
    </chartFormat>
    <chartFormat chart="5" format="2" series="1">
      <pivotArea type="data" outline="0" fieldPosition="0">
        <references count="2">
          <reference field="4294967294" count="1" selected="0">
            <x v="0"/>
          </reference>
          <reference field="2" count="1" selected="0">
            <x v="2"/>
          </reference>
        </references>
      </pivotArea>
    </chartFormat>
    <chartFormat chart="5" format="3" series="1">
      <pivotArea type="data" outline="0" fieldPosition="0">
        <references count="2">
          <reference field="4294967294" count="1" selected="0">
            <x v="0"/>
          </reference>
          <reference field="2" count="1" selected="0">
            <x v="3"/>
          </reference>
        </references>
      </pivotArea>
    </chartFormat>
    <chartFormat chart="5" format="4" series="1">
      <pivotArea type="data" outline="0" fieldPosition="0">
        <references count="2">
          <reference field="4294967294" count="1" selected="0">
            <x v="0"/>
          </reference>
          <reference field="2" count="1" selected="0">
            <x v="4"/>
          </reference>
        </references>
      </pivotArea>
    </chartFormat>
    <chartFormat chart="7" format="5" series="1">
      <pivotArea type="data" outline="0" fieldPosition="0">
        <references count="2">
          <reference field="4294967294" count="1" selected="0">
            <x v="0"/>
          </reference>
          <reference field="2" count="1" selected="0">
            <x v="0"/>
          </reference>
        </references>
      </pivotArea>
    </chartFormat>
    <chartFormat chart="7" format="6" series="1">
      <pivotArea type="data" outline="0" fieldPosition="0">
        <references count="2">
          <reference field="4294967294" count="1" selected="0">
            <x v="0"/>
          </reference>
          <reference field="2" count="1" selected="0">
            <x v="1"/>
          </reference>
        </references>
      </pivotArea>
    </chartFormat>
    <chartFormat chart="7" format="7" series="1">
      <pivotArea type="data" outline="0" fieldPosition="0">
        <references count="2">
          <reference field="4294967294" count="1" selected="0">
            <x v="0"/>
          </reference>
          <reference field="2" count="1" selected="0">
            <x v="2"/>
          </reference>
        </references>
      </pivotArea>
    </chartFormat>
    <chartFormat chart="7" format="8" series="1">
      <pivotArea type="data" outline="0" fieldPosition="0">
        <references count="2">
          <reference field="4294967294" count="1" selected="0">
            <x v="0"/>
          </reference>
          <reference field="2" count="1" selected="0">
            <x v="3"/>
          </reference>
        </references>
      </pivotArea>
    </chartFormat>
    <chartFormat chart="7" format="9" series="1">
      <pivotArea type="data" outline="0" fieldPosition="0">
        <references count="2">
          <reference field="4294967294" count="1" selected="0">
            <x v="0"/>
          </reference>
          <reference field="2" count="1" selected="0">
            <x v="4"/>
          </reference>
        </references>
      </pivotArea>
    </chartFormat>
    <chartFormat chart="9" format="10" series="1">
      <pivotArea type="data" outline="0" fieldPosition="0">
        <references count="2">
          <reference field="4294967294" count="1" selected="0">
            <x v="0"/>
          </reference>
          <reference field="2" count="1" selected="0">
            <x v="0"/>
          </reference>
        </references>
      </pivotArea>
    </chartFormat>
    <chartFormat chart="9" format="11" series="1">
      <pivotArea type="data" outline="0" fieldPosition="0">
        <references count="2">
          <reference field="4294967294" count="1" selected="0">
            <x v="0"/>
          </reference>
          <reference field="2" count="1" selected="0">
            <x v="1"/>
          </reference>
        </references>
      </pivotArea>
    </chartFormat>
    <chartFormat chart="9" format="12" series="1">
      <pivotArea type="data" outline="0" fieldPosition="0">
        <references count="2">
          <reference field="4294967294" count="1" selected="0">
            <x v="0"/>
          </reference>
          <reference field="2" count="1" selected="0">
            <x v="2"/>
          </reference>
        </references>
      </pivotArea>
    </chartFormat>
    <chartFormat chart="9" format="13" series="1">
      <pivotArea type="data" outline="0" fieldPosition="0">
        <references count="2">
          <reference field="4294967294" count="1" selected="0">
            <x v="0"/>
          </reference>
          <reference field="2" count="1" selected="0">
            <x v="3"/>
          </reference>
        </references>
      </pivotArea>
    </chartFormat>
    <chartFormat chart="9" format="14" series="1">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chartFormat="34">
  <location ref="A19:D22" firstHeaderRow="0" firstDataRow="1" firstDataCol="1"/>
  <pivotFields count="11">
    <pivotField showAll="0"/>
    <pivotField axis="axisRow" showAll="0">
      <items count="4">
        <item x="0"/>
        <item x="1"/>
        <item x="2"/>
        <item t="default"/>
      </items>
    </pivotField>
    <pivotField showAll="0"/>
    <pivotField numFmtId="14" showAll="0">
      <items count="15">
        <item x="0"/>
        <item x="1"/>
        <item x="2"/>
        <item x="3"/>
        <item x="4"/>
        <item x="5"/>
        <item x="6"/>
        <item x="7"/>
        <item x="8"/>
        <item x="9"/>
        <item x="10"/>
        <item x="11"/>
        <item x="12"/>
        <item x="13"/>
        <item t="default"/>
      </items>
    </pivotField>
    <pivotField numFmtId="20" showAll="0"/>
    <pivotField showAll="0"/>
    <pivotField dataField="1" showAll="0"/>
    <pivotField dataField="1" showAll="0"/>
    <pivotField dataField="1" showAll="0"/>
    <pivotField showAll="0"/>
    <pivotField showAll="0"/>
  </pivotFields>
  <rowFields count="1">
    <field x="1"/>
  </rowFields>
  <rowItems count="3">
    <i>
      <x/>
    </i>
    <i>
      <x v="1"/>
    </i>
    <i>
      <x v="2"/>
    </i>
  </rowItems>
  <colFields count="1">
    <field x="-2"/>
  </colFields>
  <colItems count="3">
    <i>
      <x/>
    </i>
    <i i="1">
      <x v="1"/>
    </i>
    <i i="2">
      <x v="2"/>
    </i>
  </colItems>
  <dataFields count="3">
    <dataField name="Average of Likes" fld="6" subtotal="average" baseField="1" baseItem="0"/>
    <dataField name="Average of Comments" fld="7" subtotal="average" baseField="1" baseItem="0"/>
    <dataField name="Average of Shares" fld="8" subtotal="average" baseField="1" baseItem="0"/>
  </dataFields>
  <formats count="10">
    <format dxfId="14">
      <pivotArea type="all" dataOnly="0" outline="0" fieldPosition="0"/>
    </format>
    <format dxfId="13">
      <pivotArea outline="0" collapsedLevelsAreSubtotals="1" fieldPosition="0"/>
    </format>
    <format dxfId="12">
      <pivotArea field="1" type="button" dataOnly="0" labelOnly="1" outline="0" axis="axisRow" fieldPosition="0"/>
    </format>
    <format dxfId="11">
      <pivotArea dataOnly="0" labelOnly="1" fieldPosition="0">
        <references count="1">
          <reference field="1" count="0"/>
        </references>
      </pivotArea>
    </format>
    <format dxfId="10">
      <pivotArea dataOnly="0" labelOnly="1" outline="0" fieldPosition="0">
        <references count="1">
          <reference field="4294967294" count="3">
            <x v="0"/>
            <x v="1"/>
            <x v="2"/>
          </reference>
        </references>
      </pivotArea>
    </format>
    <format dxfId="9">
      <pivotArea type="all" dataOnly="0" outline="0" fieldPosition="0"/>
    </format>
    <format dxfId="8">
      <pivotArea outline="0" collapsedLevelsAreSubtotals="1" fieldPosition="0"/>
    </format>
    <format dxfId="7">
      <pivotArea field="1" type="button" dataOnly="0" labelOnly="1" outline="0" axis="axisRow" fieldPosition="0"/>
    </format>
    <format dxfId="6">
      <pivotArea dataOnly="0" labelOnly="1" fieldPosition="0">
        <references count="1">
          <reference field="1" count="0"/>
        </references>
      </pivotArea>
    </format>
    <format dxfId="5">
      <pivotArea dataOnly="0" labelOnly="1" outline="0" fieldPosition="0">
        <references count="1">
          <reference field="4294967294" count="3">
            <x v="0"/>
            <x v="1"/>
            <x v="2"/>
          </reference>
        </references>
      </pivotArea>
    </format>
  </formats>
  <chartFormats count="1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2"/>
          </reference>
        </references>
      </pivotArea>
    </chartFormat>
    <chartFormat chart="20" format="3"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1"/>
          </reference>
        </references>
      </pivotArea>
    </chartFormat>
    <chartFormat chart="20" format="5" series="1">
      <pivotArea type="data" outline="0" fieldPosition="0">
        <references count="1">
          <reference field="4294967294" count="1" selected="0">
            <x v="2"/>
          </reference>
        </references>
      </pivotArea>
    </chartFormat>
    <chartFormat chart="21" format="6" series="1">
      <pivotArea type="data" outline="0" fieldPosition="0">
        <references count="1">
          <reference field="4294967294" count="1" selected="0">
            <x v="0"/>
          </reference>
        </references>
      </pivotArea>
    </chartFormat>
    <chartFormat chart="21" format="7" series="1">
      <pivotArea type="data" outline="0" fieldPosition="0">
        <references count="1">
          <reference field="4294967294" count="1" selected="0">
            <x v="1"/>
          </reference>
        </references>
      </pivotArea>
    </chartFormat>
    <chartFormat chart="21" format="8" series="1">
      <pivotArea type="data" outline="0" fieldPosition="0">
        <references count="1">
          <reference field="4294967294" count="1" selected="0">
            <x v="2"/>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chartFormat="8">
  <location ref="A14:D17" firstHeaderRow="0" firstDataRow="1" firstDataCol="1"/>
  <pivotFields count="11">
    <pivotField showAll="0"/>
    <pivotField axis="axisRow" showAll="0">
      <items count="4">
        <item x="0"/>
        <item x="1"/>
        <item x="2"/>
        <item t="default"/>
      </items>
    </pivotField>
    <pivotField showAll="0"/>
    <pivotField numFmtId="14" showAll="0">
      <items count="15">
        <item x="0"/>
        <item x="1"/>
        <item x="2"/>
        <item x="3"/>
        <item x="4"/>
        <item x="5"/>
        <item x="6"/>
        <item x="7"/>
        <item x="8"/>
        <item x="9"/>
        <item x="10"/>
        <item x="11"/>
        <item x="12"/>
        <item x="13"/>
        <item t="default"/>
      </items>
    </pivotField>
    <pivotField numFmtId="20" showAll="0"/>
    <pivotField showAll="0"/>
    <pivotField dataField="1" showAll="0"/>
    <pivotField dataField="1" showAll="0"/>
    <pivotField dataField="1" showAll="0"/>
    <pivotField showAll="0"/>
    <pivotField showAll="0"/>
  </pivotFields>
  <rowFields count="1">
    <field x="1"/>
  </rowFields>
  <rowItems count="3">
    <i>
      <x/>
    </i>
    <i>
      <x v="1"/>
    </i>
    <i>
      <x v="2"/>
    </i>
  </rowItems>
  <colFields count="1">
    <field x="-2"/>
  </colFields>
  <colItems count="3">
    <i>
      <x/>
    </i>
    <i i="1">
      <x v="1"/>
    </i>
    <i i="2">
      <x v="2"/>
    </i>
  </colItems>
  <dataFields count="3">
    <dataField name="Sum of Likes" fld="6" baseField="1" baseItem="0"/>
    <dataField name="Sum of Comments" fld="7" baseField="1" baseItem="0"/>
    <dataField name="Sum of Shares" fld="8" baseField="0" baseItem="0"/>
  </dataFields>
  <formats count="5">
    <format dxfId="19">
      <pivotArea type="all" dataOnly="0" outline="0" fieldPosition="0"/>
    </format>
    <format dxfId="18">
      <pivotArea outline="0" collapsedLevelsAreSubtotals="1" fieldPosition="0"/>
    </format>
    <format dxfId="17">
      <pivotArea field="1" type="button" dataOnly="0" labelOnly="1" outline="0" axis="axisRow" fieldPosition="0"/>
    </format>
    <format dxfId="16">
      <pivotArea dataOnly="0" labelOnly="1" fieldPosition="0">
        <references count="1">
          <reference field="1" count="0"/>
        </references>
      </pivotArea>
    </format>
    <format dxfId="15">
      <pivotArea dataOnly="0" labelOnly="1" outline="0" fieldPosition="0">
        <references count="1">
          <reference field="4294967294" count="3">
            <x v="0"/>
            <x v="1"/>
            <x v="2"/>
          </reference>
        </references>
      </pivotArea>
    </format>
  </formats>
  <chartFormats count="1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2"/>
          </reference>
        </references>
      </pivotArea>
    </chartFormat>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2"/>
          </reference>
        </references>
      </pivotArea>
    </chartFormat>
    <chartFormat chart="6" format="9" series="1">
      <pivotArea type="data" outline="0" fieldPosition="0">
        <references count="1">
          <reference field="4294967294" count="1" selected="0">
            <x v="0"/>
          </reference>
        </references>
      </pivotArea>
    </chartFormat>
    <chartFormat chart="6" format="10" series="1">
      <pivotArea type="data" outline="0" fieldPosition="0">
        <references count="1">
          <reference field="4294967294" count="1" selected="0">
            <x v="1"/>
          </reference>
        </references>
      </pivotArea>
    </chartFormat>
    <chartFormat chart="6" format="11" series="1">
      <pivotArea type="data" outline="0" fieldPosition="0">
        <references count="1">
          <reference field="4294967294" count="1" selected="0">
            <x v="2"/>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chartFormat="7">
  <location ref="A2:N6" firstHeaderRow="1" firstDataRow="2" firstDataCol="1"/>
  <pivotFields count="11">
    <pivotField showAll="0"/>
    <pivotField axis="axisRow" showAll="0">
      <items count="4">
        <item x="0"/>
        <item x="1"/>
        <item x="2"/>
        <item t="default"/>
      </items>
    </pivotField>
    <pivotField showAll="0"/>
    <pivotField axis="axisCol" dataField="1" numFmtId="14" showAll="0">
      <items count="15">
        <item x="0"/>
        <item x="1"/>
        <item x="2"/>
        <item x="3"/>
        <item x="4"/>
        <item x="5"/>
        <item x="6"/>
        <item x="7"/>
        <item x="8"/>
        <item x="9"/>
        <item x="10"/>
        <item x="11"/>
        <item x="12"/>
        <item x="13"/>
        <item t="default"/>
      </items>
    </pivotField>
    <pivotField numFmtId="20" showAll="0"/>
    <pivotField showAll="0"/>
    <pivotField showAll="0"/>
    <pivotField showAll="0"/>
    <pivotField showAll="0"/>
    <pivotField showAll="0"/>
    <pivotField showAll="0"/>
  </pivotFields>
  <rowFields count="1">
    <field x="1"/>
  </rowFields>
  <rowItems count="3">
    <i>
      <x/>
    </i>
    <i>
      <x v="1"/>
    </i>
    <i>
      <x v="2"/>
    </i>
  </rowItems>
  <colFields count="1">
    <field x="3"/>
  </colFields>
  <colItems count="13">
    <i>
      <x v="1"/>
    </i>
    <i>
      <x v="2"/>
    </i>
    <i>
      <x v="3"/>
    </i>
    <i>
      <x v="4"/>
    </i>
    <i>
      <x v="5"/>
    </i>
    <i>
      <x v="6"/>
    </i>
    <i>
      <x v="7"/>
    </i>
    <i>
      <x v="8"/>
    </i>
    <i>
      <x v="9"/>
    </i>
    <i>
      <x v="10"/>
    </i>
    <i>
      <x v="11"/>
    </i>
    <i>
      <x v="12"/>
    </i>
    <i t="grand">
      <x/>
    </i>
  </colItems>
  <dataFields count="1">
    <dataField name="Number of Posts each Month" fld="3" subtotal="count" baseField="0" baseItem="1404032544"/>
  </dataFields>
  <formats count="5">
    <format dxfId="24">
      <pivotArea type="all" dataOnly="0" outline="0" fieldPosition="0"/>
    </format>
    <format dxfId="23">
      <pivotArea outline="0" collapsedLevelsAreSubtotals="1" fieldPosition="0"/>
    </format>
    <format dxfId="22">
      <pivotArea dataOnly="0" labelOnly="1" fieldPosition="0">
        <references count="1">
          <reference field="1" count="0"/>
        </references>
      </pivotArea>
    </format>
    <format dxfId="21">
      <pivotArea dataOnly="0" labelOnly="1" fieldPosition="0">
        <references count="1">
          <reference field="3" count="12">
            <x v="1"/>
            <x v="2"/>
            <x v="3"/>
            <x v="4"/>
            <x v="5"/>
            <x v="6"/>
            <x v="7"/>
            <x v="8"/>
            <x v="9"/>
            <x v="10"/>
            <x v="11"/>
            <x v="12"/>
          </reference>
        </references>
      </pivotArea>
    </format>
    <format dxfId="20">
      <pivotArea dataOnly="0" labelOnly="1" grandCol="1" outline="0" fieldPosition="0"/>
    </format>
  </formats>
  <chartFormats count="48">
    <chartFormat chart="6" format="96" series="1">
      <pivotArea type="data" outline="0" fieldPosition="0">
        <references count="2">
          <reference field="4294967294" count="1" selected="0">
            <x v="0"/>
          </reference>
          <reference field="3" count="1" selected="0">
            <x v="1"/>
          </reference>
        </references>
      </pivotArea>
    </chartFormat>
    <chartFormat chart="6" format="97">
      <pivotArea type="data" outline="0" fieldPosition="0">
        <references count="3">
          <reference field="4294967294" count="1" selected="0">
            <x v="0"/>
          </reference>
          <reference field="1" count="1" selected="0">
            <x v="0"/>
          </reference>
          <reference field="3" count="1" selected="0">
            <x v="1"/>
          </reference>
        </references>
      </pivotArea>
    </chartFormat>
    <chartFormat chart="6" format="98">
      <pivotArea type="data" outline="0" fieldPosition="0">
        <references count="3">
          <reference field="4294967294" count="1" selected="0">
            <x v="0"/>
          </reference>
          <reference field="1" count="1" selected="0">
            <x v="1"/>
          </reference>
          <reference field="3" count="1" selected="0">
            <x v="1"/>
          </reference>
        </references>
      </pivotArea>
    </chartFormat>
    <chartFormat chart="6" format="99">
      <pivotArea type="data" outline="0" fieldPosition="0">
        <references count="3">
          <reference field="4294967294" count="1" selected="0">
            <x v="0"/>
          </reference>
          <reference field="1" count="1" selected="0">
            <x v="2"/>
          </reference>
          <reference field="3" count="1" selected="0">
            <x v="1"/>
          </reference>
        </references>
      </pivotArea>
    </chartFormat>
    <chartFormat chart="6" format="100" series="1">
      <pivotArea type="data" outline="0" fieldPosition="0">
        <references count="2">
          <reference field="4294967294" count="1" selected="0">
            <x v="0"/>
          </reference>
          <reference field="3" count="1" selected="0">
            <x v="2"/>
          </reference>
        </references>
      </pivotArea>
    </chartFormat>
    <chartFormat chart="6" format="101">
      <pivotArea type="data" outline="0" fieldPosition="0">
        <references count="3">
          <reference field="4294967294" count="1" selected="0">
            <x v="0"/>
          </reference>
          <reference field="1" count="1" selected="0">
            <x v="0"/>
          </reference>
          <reference field="3" count="1" selected="0">
            <x v="2"/>
          </reference>
        </references>
      </pivotArea>
    </chartFormat>
    <chartFormat chart="6" format="102">
      <pivotArea type="data" outline="0" fieldPosition="0">
        <references count="3">
          <reference field="4294967294" count="1" selected="0">
            <x v="0"/>
          </reference>
          <reference field="1" count="1" selected="0">
            <x v="1"/>
          </reference>
          <reference field="3" count="1" selected="0">
            <x v="2"/>
          </reference>
        </references>
      </pivotArea>
    </chartFormat>
    <chartFormat chart="6" format="103">
      <pivotArea type="data" outline="0" fieldPosition="0">
        <references count="3">
          <reference field="4294967294" count="1" selected="0">
            <x v="0"/>
          </reference>
          <reference field="1" count="1" selected="0">
            <x v="2"/>
          </reference>
          <reference field="3" count="1" selected="0">
            <x v="2"/>
          </reference>
        </references>
      </pivotArea>
    </chartFormat>
    <chartFormat chart="6" format="104" series="1">
      <pivotArea type="data" outline="0" fieldPosition="0">
        <references count="2">
          <reference field="4294967294" count="1" selected="0">
            <x v="0"/>
          </reference>
          <reference field="3" count="1" selected="0">
            <x v="3"/>
          </reference>
        </references>
      </pivotArea>
    </chartFormat>
    <chartFormat chart="6" format="105">
      <pivotArea type="data" outline="0" fieldPosition="0">
        <references count="3">
          <reference field="4294967294" count="1" selected="0">
            <x v="0"/>
          </reference>
          <reference field="1" count="1" selected="0">
            <x v="0"/>
          </reference>
          <reference field="3" count="1" selected="0">
            <x v="3"/>
          </reference>
        </references>
      </pivotArea>
    </chartFormat>
    <chartFormat chart="6" format="106">
      <pivotArea type="data" outline="0" fieldPosition="0">
        <references count="3">
          <reference field="4294967294" count="1" selected="0">
            <x v="0"/>
          </reference>
          <reference field="1" count="1" selected="0">
            <x v="1"/>
          </reference>
          <reference field="3" count="1" selected="0">
            <x v="3"/>
          </reference>
        </references>
      </pivotArea>
    </chartFormat>
    <chartFormat chart="6" format="107">
      <pivotArea type="data" outline="0" fieldPosition="0">
        <references count="3">
          <reference field="4294967294" count="1" selected="0">
            <x v="0"/>
          </reference>
          <reference field="1" count="1" selected="0">
            <x v="2"/>
          </reference>
          <reference field="3" count="1" selected="0">
            <x v="3"/>
          </reference>
        </references>
      </pivotArea>
    </chartFormat>
    <chartFormat chart="6" format="108" series="1">
      <pivotArea type="data" outline="0" fieldPosition="0">
        <references count="2">
          <reference field="4294967294" count="1" selected="0">
            <x v="0"/>
          </reference>
          <reference field="3" count="1" selected="0">
            <x v="4"/>
          </reference>
        </references>
      </pivotArea>
    </chartFormat>
    <chartFormat chart="6" format="109">
      <pivotArea type="data" outline="0" fieldPosition="0">
        <references count="3">
          <reference field="4294967294" count="1" selected="0">
            <x v="0"/>
          </reference>
          <reference field="1" count="1" selected="0">
            <x v="0"/>
          </reference>
          <reference field="3" count="1" selected="0">
            <x v="4"/>
          </reference>
        </references>
      </pivotArea>
    </chartFormat>
    <chartFormat chart="6" format="110">
      <pivotArea type="data" outline="0" fieldPosition="0">
        <references count="3">
          <reference field="4294967294" count="1" selected="0">
            <x v="0"/>
          </reference>
          <reference field="1" count="1" selected="0">
            <x v="1"/>
          </reference>
          <reference field="3" count="1" selected="0">
            <x v="4"/>
          </reference>
        </references>
      </pivotArea>
    </chartFormat>
    <chartFormat chart="6" format="111">
      <pivotArea type="data" outline="0" fieldPosition="0">
        <references count="3">
          <reference field="4294967294" count="1" selected="0">
            <x v="0"/>
          </reference>
          <reference field="1" count="1" selected="0">
            <x v="2"/>
          </reference>
          <reference field="3" count="1" selected="0">
            <x v="4"/>
          </reference>
        </references>
      </pivotArea>
    </chartFormat>
    <chartFormat chart="6" format="112" series="1">
      <pivotArea type="data" outline="0" fieldPosition="0">
        <references count="2">
          <reference field="4294967294" count="1" selected="0">
            <x v="0"/>
          </reference>
          <reference field="3" count="1" selected="0">
            <x v="5"/>
          </reference>
        </references>
      </pivotArea>
    </chartFormat>
    <chartFormat chart="6" format="113">
      <pivotArea type="data" outline="0" fieldPosition="0">
        <references count="3">
          <reference field="4294967294" count="1" selected="0">
            <x v="0"/>
          </reference>
          <reference field="1" count="1" selected="0">
            <x v="0"/>
          </reference>
          <reference field="3" count="1" selected="0">
            <x v="5"/>
          </reference>
        </references>
      </pivotArea>
    </chartFormat>
    <chartFormat chart="6" format="114">
      <pivotArea type="data" outline="0" fieldPosition="0">
        <references count="3">
          <reference field="4294967294" count="1" selected="0">
            <x v="0"/>
          </reference>
          <reference field="1" count="1" selected="0">
            <x v="1"/>
          </reference>
          <reference field="3" count="1" selected="0">
            <x v="5"/>
          </reference>
        </references>
      </pivotArea>
    </chartFormat>
    <chartFormat chart="6" format="115">
      <pivotArea type="data" outline="0" fieldPosition="0">
        <references count="3">
          <reference field="4294967294" count="1" selected="0">
            <x v="0"/>
          </reference>
          <reference field="1" count="1" selected="0">
            <x v="2"/>
          </reference>
          <reference field="3" count="1" selected="0">
            <x v="5"/>
          </reference>
        </references>
      </pivotArea>
    </chartFormat>
    <chartFormat chart="6" format="116" series="1">
      <pivotArea type="data" outline="0" fieldPosition="0">
        <references count="2">
          <reference field="4294967294" count="1" selected="0">
            <x v="0"/>
          </reference>
          <reference field="3" count="1" selected="0">
            <x v="6"/>
          </reference>
        </references>
      </pivotArea>
    </chartFormat>
    <chartFormat chart="6" format="117">
      <pivotArea type="data" outline="0" fieldPosition="0">
        <references count="3">
          <reference field="4294967294" count="1" selected="0">
            <x v="0"/>
          </reference>
          <reference field="1" count="1" selected="0">
            <x v="0"/>
          </reference>
          <reference field="3" count="1" selected="0">
            <x v="6"/>
          </reference>
        </references>
      </pivotArea>
    </chartFormat>
    <chartFormat chart="6" format="118">
      <pivotArea type="data" outline="0" fieldPosition="0">
        <references count="3">
          <reference field="4294967294" count="1" selected="0">
            <x v="0"/>
          </reference>
          <reference field="1" count="1" selected="0">
            <x v="1"/>
          </reference>
          <reference field="3" count="1" selected="0">
            <x v="6"/>
          </reference>
        </references>
      </pivotArea>
    </chartFormat>
    <chartFormat chart="6" format="119">
      <pivotArea type="data" outline="0" fieldPosition="0">
        <references count="3">
          <reference field="4294967294" count="1" selected="0">
            <x v="0"/>
          </reference>
          <reference field="1" count="1" selected="0">
            <x v="2"/>
          </reference>
          <reference field="3" count="1" selected="0">
            <x v="6"/>
          </reference>
        </references>
      </pivotArea>
    </chartFormat>
    <chartFormat chart="6" format="120" series="1">
      <pivotArea type="data" outline="0" fieldPosition="0">
        <references count="2">
          <reference field="4294967294" count="1" selected="0">
            <x v="0"/>
          </reference>
          <reference field="3" count="1" selected="0">
            <x v="7"/>
          </reference>
        </references>
      </pivotArea>
    </chartFormat>
    <chartFormat chart="6" format="121">
      <pivotArea type="data" outline="0" fieldPosition="0">
        <references count="3">
          <reference field="4294967294" count="1" selected="0">
            <x v="0"/>
          </reference>
          <reference field="1" count="1" selected="0">
            <x v="0"/>
          </reference>
          <reference field="3" count="1" selected="0">
            <x v="7"/>
          </reference>
        </references>
      </pivotArea>
    </chartFormat>
    <chartFormat chart="6" format="122">
      <pivotArea type="data" outline="0" fieldPosition="0">
        <references count="3">
          <reference field="4294967294" count="1" selected="0">
            <x v="0"/>
          </reference>
          <reference field="1" count="1" selected="0">
            <x v="1"/>
          </reference>
          <reference field="3" count="1" selected="0">
            <x v="7"/>
          </reference>
        </references>
      </pivotArea>
    </chartFormat>
    <chartFormat chart="6" format="123">
      <pivotArea type="data" outline="0" fieldPosition="0">
        <references count="3">
          <reference field="4294967294" count="1" selected="0">
            <x v="0"/>
          </reference>
          <reference field="1" count="1" selected="0">
            <x v="2"/>
          </reference>
          <reference field="3" count="1" selected="0">
            <x v="7"/>
          </reference>
        </references>
      </pivotArea>
    </chartFormat>
    <chartFormat chart="6" format="124" series="1">
      <pivotArea type="data" outline="0" fieldPosition="0">
        <references count="2">
          <reference field="4294967294" count="1" selected="0">
            <x v="0"/>
          </reference>
          <reference field="3" count="1" selected="0">
            <x v="8"/>
          </reference>
        </references>
      </pivotArea>
    </chartFormat>
    <chartFormat chart="6" format="125">
      <pivotArea type="data" outline="0" fieldPosition="0">
        <references count="3">
          <reference field="4294967294" count="1" selected="0">
            <x v="0"/>
          </reference>
          <reference field="1" count="1" selected="0">
            <x v="0"/>
          </reference>
          <reference field="3" count="1" selected="0">
            <x v="8"/>
          </reference>
        </references>
      </pivotArea>
    </chartFormat>
    <chartFormat chart="6" format="126">
      <pivotArea type="data" outline="0" fieldPosition="0">
        <references count="3">
          <reference field="4294967294" count="1" selected="0">
            <x v="0"/>
          </reference>
          <reference field="1" count="1" selected="0">
            <x v="1"/>
          </reference>
          <reference field="3" count="1" selected="0">
            <x v="8"/>
          </reference>
        </references>
      </pivotArea>
    </chartFormat>
    <chartFormat chart="6" format="127">
      <pivotArea type="data" outline="0" fieldPosition="0">
        <references count="3">
          <reference field="4294967294" count="1" selected="0">
            <x v="0"/>
          </reference>
          <reference field="1" count="1" selected="0">
            <x v="2"/>
          </reference>
          <reference field="3" count="1" selected="0">
            <x v="8"/>
          </reference>
        </references>
      </pivotArea>
    </chartFormat>
    <chartFormat chart="6" format="128" series="1">
      <pivotArea type="data" outline="0" fieldPosition="0">
        <references count="2">
          <reference field="4294967294" count="1" selected="0">
            <x v="0"/>
          </reference>
          <reference field="3" count="1" selected="0">
            <x v="9"/>
          </reference>
        </references>
      </pivotArea>
    </chartFormat>
    <chartFormat chart="6" format="129">
      <pivotArea type="data" outline="0" fieldPosition="0">
        <references count="3">
          <reference field="4294967294" count="1" selected="0">
            <x v="0"/>
          </reference>
          <reference field="1" count="1" selected="0">
            <x v="0"/>
          </reference>
          <reference field="3" count="1" selected="0">
            <x v="9"/>
          </reference>
        </references>
      </pivotArea>
    </chartFormat>
    <chartFormat chart="6" format="130">
      <pivotArea type="data" outline="0" fieldPosition="0">
        <references count="3">
          <reference field="4294967294" count="1" selected="0">
            <x v="0"/>
          </reference>
          <reference field="1" count="1" selected="0">
            <x v="1"/>
          </reference>
          <reference field="3" count="1" selected="0">
            <x v="9"/>
          </reference>
        </references>
      </pivotArea>
    </chartFormat>
    <chartFormat chart="6" format="131">
      <pivotArea type="data" outline="0" fieldPosition="0">
        <references count="3">
          <reference field="4294967294" count="1" selected="0">
            <x v="0"/>
          </reference>
          <reference field="1" count="1" selected="0">
            <x v="2"/>
          </reference>
          <reference field="3" count="1" selected="0">
            <x v="9"/>
          </reference>
        </references>
      </pivotArea>
    </chartFormat>
    <chartFormat chart="6" format="132" series="1">
      <pivotArea type="data" outline="0" fieldPosition="0">
        <references count="2">
          <reference field="4294967294" count="1" selected="0">
            <x v="0"/>
          </reference>
          <reference field="3" count="1" selected="0">
            <x v="10"/>
          </reference>
        </references>
      </pivotArea>
    </chartFormat>
    <chartFormat chart="6" format="133">
      <pivotArea type="data" outline="0" fieldPosition="0">
        <references count="3">
          <reference field="4294967294" count="1" selected="0">
            <x v="0"/>
          </reference>
          <reference field="1" count="1" selected="0">
            <x v="0"/>
          </reference>
          <reference field="3" count="1" selected="0">
            <x v="10"/>
          </reference>
        </references>
      </pivotArea>
    </chartFormat>
    <chartFormat chart="6" format="134">
      <pivotArea type="data" outline="0" fieldPosition="0">
        <references count="3">
          <reference field="4294967294" count="1" selected="0">
            <x v="0"/>
          </reference>
          <reference field="1" count="1" selected="0">
            <x v="1"/>
          </reference>
          <reference field="3" count="1" selected="0">
            <x v="10"/>
          </reference>
        </references>
      </pivotArea>
    </chartFormat>
    <chartFormat chart="6" format="135">
      <pivotArea type="data" outline="0" fieldPosition="0">
        <references count="3">
          <reference field="4294967294" count="1" selected="0">
            <x v="0"/>
          </reference>
          <reference field="1" count="1" selected="0">
            <x v="2"/>
          </reference>
          <reference field="3" count="1" selected="0">
            <x v="10"/>
          </reference>
        </references>
      </pivotArea>
    </chartFormat>
    <chartFormat chart="6" format="136" series="1">
      <pivotArea type="data" outline="0" fieldPosition="0">
        <references count="2">
          <reference field="4294967294" count="1" selected="0">
            <x v="0"/>
          </reference>
          <reference field="3" count="1" selected="0">
            <x v="11"/>
          </reference>
        </references>
      </pivotArea>
    </chartFormat>
    <chartFormat chart="6" format="137">
      <pivotArea type="data" outline="0" fieldPosition="0">
        <references count="3">
          <reference field="4294967294" count="1" selected="0">
            <x v="0"/>
          </reference>
          <reference field="1" count="1" selected="0">
            <x v="0"/>
          </reference>
          <reference field="3" count="1" selected="0">
            <x v="11"/>
          </reference>
        </references>
      </pivotArea>
    </chartFormat>
    <chartFormat chart="6" format="138">
      <pivotArea type="data" outline="0" fieldPosition="0">
        <references count="3">
          <reference field="4294967294" count="1" selected="0">
            <x v="0"/>
          </reference>
          <reference field="1" count="1" selected="0">
            <x v="1"/>
          </reference>
          <reference field="3" count="1" selected="0">
            <x v="11"/>
          </reference>
        </references>
      </pivotArea>
    </chartFormat>
    <chartFormat chart="6" format="139">
      <pivotArea type="data" outline="0" fieldPosition="0">
        <references count="3">
          <reference field="4294967294" count="1" selected="0">
            <x v="0"/>
          </reference>
          <reference field="1" count="1" selected="0">
            <x v="2"/>
          </reference>
          <reference field="3" count="1" selected="0">
            <x v="11"/>
          </reference>
        </references>
      </pivotArea>
    </chartFormat>
    <chartFormat chart="6" format="140" series="1">
      <pivotArea type="data" outline="0" fieldPosition="0">
        <references count="2">
          <reference field="4294967294" count="1" selected="0">
            <x v="0"/>
          </reference>
          <reference field="3" count="1" selected="0">
            <x v="12"/>
          </reference>
        </references>
      </pivotArea>
    </chartFormat>
    <chartFormat chart="6" format="141">
      <pivotArea type="data" outline="0" fieldPosition="0">
        <references count="3">
          <reference field="4294967294" count="1" selected="0">
            <x v="0"/>
          </reference>
          <reference field="1" count="1" selected="0">
            <x v="0"/>
          </reference>
          <reference field="3" count="1" selected="0">
            <x v="12"/>
          </reference>
        </references>
      </pivotArea>
    </chartFormat>
    <chartFormat chart="6" format="142">
      <pivotArea type="data" outline="0" fieldPosition="0">
        <references count="3">
          <reference field="4294967294" count="1" selected="0">
            <x v="0"/>
          </reference>
          <reference field="1" count="1" selected="0">
            <x v="1"/>
          </reference>
          <reference field="3" count="1" selected="0">
            <x v="12"/>
          </reference>
        </references>
      </pivotArea>
    </chartFormat>
    <chartFormat chart="6" format="143">
      <pivotArea type="data" outline="0" fieldPosition="0">
        <references count="3">
          <reference field="4294967294" count="1" selected="0">
            <x v="0"/>
          </reference>
          <reference field="1" count="1" selected="0">
            <x v="2"/>
          </reference>
          <reference field="3" count="1" selected="0">
            <x v="12"/>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latform" sourceName="Platform">
  <pivotTables>
    <pivotTable tabId="3" name="PivotTable3"/>
    <pivotTable tabId="3" name="PivotTable4"/>
    <pivotTable tabId="3" name="PivotTable5"/>
    <pivotTable tabId="3" name="PivotTable8"/>
  </pivotTables>
  <data>
    <tabular pivotCacheId="2">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ost_Date" sourceName="Post Date ">
  <pivotTables>
    <pivotTable tabId="3" name="PivotTable3"/>
    <pivotTable tabId="3" name="PivotTable4"/>
    <pivotTable tabId="3" name="PivotTable5"/>
    <pivotTable tabId="3" name="PivotTable8"/>
  </pivotTables>
  <data>
    <tabular pivotCacheId="2">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latform" cache="Slicer_Platform" caption="Platform" rowHeight="225425"/>
  <slicer name="Post Date " cache="Slicer_Post_Date" caption="Post Date " rowHeight="225425"/>
</slicer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spDef>
      <a:spPr>
        <a:solidFill>
          <a:srgbClr val="8945ED"/>
        </a:solidFill>
        <a:ln>
          <a:solidFill>
            <a:schemeClr val="tx1">
              <a:lumMod val="65000"/>
              <a:lumOff val="35000"/>
            </a:schemeClr>
          </a:solidFill>
        </a:ln>
        <a:effectLst>
          <a:outerShdw blurRad="63500" sx="102000" sy="102000" algn="ctr" rotWithShape="0">
            <a:prstClr val="black">
              <a:alpha val="40000"/>
            </a:prstClr>
          </a:outerShdw>
        </a:effectLst>
      </a:spPr>
      <a:bodyPr vertOverflow="clip" horzOverflow="clip" rtlCol="0" anchor="ctr"/>
      <a:lstStyle>
        <a:defPPr algn="ctr">
          <a:defRPr sz="4400" b="1" i="0" u="none" strike="noStrike">
            <a:solidFill>
              <a:schemeClr val="bg1"/>
            </a:solidFill>
            <a:latin typeface="Bahnschrift" panose="020B0502040204020203" pitchFamily="34" charset="0"/>
            <a:cs typeface="Calibri"/>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1"/>
  <sheetViews>
    <sheetView zoomScaleNormal="100" workbookViewId="0">
      <selection activeCell="P11" sqref="P11"/>
    </sheetView>
  </sheetViews>
  <sheetFormatPr defaultColWidth="11.5703125" defaultRowHeight="12.75" customHeight="1" x14ac:dyDescent="0.2"/>
  <cols>
    <col min="1" max="1" width="7.42578125" customWidth="1"/>
    <col min="2" max="3" width="9.5703125" customWidth="1"/>
    <col min="4" max="4" width="15.42578125" customWidth="1"/>
    <col min="5" max="5" width="5.28515625" customWidth="1"/>
    <col min="6" max="6" width="10" customWidth="1"/>
    <col min="7" max="7" width="7" customWidth="1"/>
    <col min="8" max="8" width="11" customWidth="1"/>
    <col min="9" max="9" width="15" customWidth="1"/>
  </cols>
  <sheetData>
    <row r="1" spans="1:9" x14ac:dyDescent="0.2">
      <c r="A1" t="s">
        <v>0</v>
      </c>
      <c r="B1" t="s">
        <v>1</v>
      </c>
      <c r="C1" t="s">
        <v>2</v>
      </c>
      <c r="D1" t="s">
        <v>3</v>
      </c>
      <c r="E1" t="s">
        <v>4</v>
      </c>
      <c r="F1" t="s">
        <v>5</v>
      </c>
      <c r="G1" t="s">
        <v>6</v>
      </c>
      <c r="H1" t="s">
        <v>7</v>
      </c>
      <c r="I1" t="s">
        <v>8</v>
      </c>
    </row>
    <row r="2" spans="1:9" x14ac:dyDescent="0.2">
      <c r="A2">
        <v>1</v>
      </c>
      <c r="B2" t="s">
        <v>9</v>
      </c>
      <c r="C2" t="s">
        <v>10</v>
      </c>
      <c r="D2" s="1" t="s">
        <v>11</v>
      </c>
      <c r="E2">
        <v>2121</v>
      </c>
      <c r="F2">
        <v>474</v>
      </c>
      <c r="G2">
        <v>628</v>
      </c>
      <c r="H2" t="s">
        <v>12</v>
      </c>
      <c r="I2" t="s">
        <v>13</v>
      </c>
    </row>
    <row r="3" spans="1:9" x14ac:dyDescent="0.2">
      <c r="A3">
        <v>2</v>
      </c>
      <c r="B3" t="s">
        <v>9</v>
      </c>
      <c r="C3" t="s">
        <v>14</v>
      </c>
      <c r="D3" s="1" t="s">
        <v>15</v>
      </c>
      <c r="E3">
        <v>3660</v>
      </c>
      <c r="F3">
        <v>432</v>
      </c>
      <c r="G3">
        <v>694</v>
      </c>
      <c r="H3" t="s">
        <v>16</v>
      </c>
      <c r="I3" t="s">
        <v>17</v>
      </c>
    </row>
    <row r="4" spans="1:9" x14ac:dyDescent="0.2">
      <c r="A4">
        <v>3</v>
      </c>
      <c r="B4" t="s">
        <v>18</v>
      </c>
      <c r="C4" t="s">
        <v>19</v>
      </c>
      <c r="D4" s="1" t="s">
        <v>20</v>
      </c>
      <c r="E4">
        <v>4955</v>
      </c>
      <c r="F4">
        <v>408</v>
      </c>
      <c r="G4">
        <v>688</v>
      </c>
      <c r="H4" t="s">
        <v>21</v>
      </c>
      <c r="I4" t="s">
        <v>22</v>
      </c>
    </row>
    <row r="5" spans="1:9" x14ac:dyDescent="0.2">
      <c r="A5">
        <v>4</v>
      </c>
      <c r="B5" t="s">
        <v>23</v>
      </c>
      <c r="C5" t="s">
        <v>10</v>
      </c>
      <c r="D5" s="1" t="s">
        <v>24</v>
      </c>
      <c r="E5">
        <v>1183</v>
      </c>
      <c r="F5">
        <v>90</v>
      </c>
      <c r="G5">
        <v>187</v>
      </c>
      <c r="H5" t="s">
        <v>12</v>
      </c>
      <c r="I5" t="s">
        <v>22</v>
      </c>
    </row>
    <row r="6" spans="1:9" x14ac:dyDescent="0.2">
      <c r="A6">
        <v>5</v>
      </c>
      <c r="B6" t="s">
        <v>23</v>
      </c>
      <c r="C6" t="s">
        <v>25</v>
      </c>
      <c r="D6" s="1" t="s">
        <v>26</v>
      </c>
      <c r="E6">
        <v>3499</v>
      </c>
      <c r="F6">
        <v>247</v>
      </c>
      <c r="G6">
        <v>286</v>
      </c>
      <c r="H6" t="s">
        <v>21</v>
      </c>
      <c r="I6" t="s">
        <v>13</v>
      </c>
    </row>
    <row r="7" spans="1:9" x14ac:dyDescent="0.2">
      <c r="A7">
        <v>6</v>
      </c>
      <c r="B7" t="s">
        <v>18</v>
      </c>
      <c r="C7" t="s">
        <v>14</v>
      </c>
      <c r="D7" s="1" t="s">
        <v>27</v>
      </c>
      <c r="E7">
        <v>256</v>
      </c>
      <c r="F7">
        <v>186</v>
      </c>
      <c r="G7">
        <v>211</v>
      </c>
      <c r="H7" t="s">
        <v>28</v>
      </c>
      <c r="I7" t="s">
        <v>17</v>
      </c>
    </row>
    <row r="8" spans="1:9" x14ac:dyDescent="0.2">
      <c r="A8">
        <v>7</v>
      </c>
      <c r="B8" t="s">
        <v>18</v>
      </c>
      <c r="C8" t="s">
        <v>10</v>
      </c>
      <c r="D8" s="1" t="s">
        <v>29</v>
      </c>
      <c r="E8">
        <v>1982</v>
      </c>
      <c r="F8">
        <v>30</v>
      </c>
      <c r="G8">
        <v>906</v>
      </c>
      <c r="H8" t="s">
        <v>16</v>
      </c>
      <c r="I8" t="s">
        <v>13</v>
      </c>
    </row>
    <row r="9" spans="1:9" x14ac:dyDescent="0.2">
      <c r="A9">
        <v>8</v>
      </c>
      <c r="B9" t="s">
        <v>18</v>
      </c>
      <c r="C9" t="s">
        <v>30</v>
      </c>
      <c r="D9" s="1" t="s">
        <v>31</v>
      </c>
      <c r="E9">
        <v>1274</v>
      </c>
      <c r="F9">
        <v>45</v>
      </c>
      <c r="G9">
        <v>216</v>
      </c>
      <c r="H9" t="s">
        <v>32</v>
      </c>
      <c r="I9" t="s">
        <v>17</v>
      </c>
    </row>
    <row r="10" spans="1:9" x14ac:dyDescent="0.2">
      <c r="A10">
        <v>9</v>
      </c>
      <c r="B10" t="s">
        <v>9</v>
      </c>
      <c r="C10" t="s">
        <v>25</v>
      </c>
      <c r="D10" s="1" t="s">
        <v>33</v>
      </c>
      <c r="E10">
        <v>317</v>
      </c>
      <c r="F10">
        <v>249</v>
      </c>
      <c r="G10">
        <v>221</v>
      </c>
      <c r="H10" t="s">
        <v>21</v>
      </c>
      <c r="I10" t="s">
        <v>17</v>
      </c>
    </row>
    <row r="11" spans="1:9" x14ac:dyDescent="0.2">
      <c r="A11">
        <v>10</v>
      </c>
      <c r="B11" t="s">
        <v>23</v>
      </c>
      <c r="C11" t="s">
        <v>14</v>
      </c>
      <c r="D11" s="1" t="s">
        <v>34</v>
      </c>
      <c r="E11">
        <v>1878</v>
      </c>
      <c r="F11">
        <v>225</v>
      </c>
      <c r="G11">
        <v>438</v>
      </c>
      <c r="H11" t="s">
        <v>12</v>
      </c>
      <c r="I11" t="s">
        <v>17</v>
      </c>
    </row>
    <row r="12" spans="1:9" x14ac:dyDescent="0.2">
      <c r="A12">
        <v>11</v>
      </c>
      <c r="B12" t="s">
        <v>23</v>
      </c>
      <c r="C12" t="s">
        <v>30</v>
      </c>
      <c r="D12" s="1" t="s">
        <v>35</v>
      </c>
      <c r="E12">
        <v>1446</v>
      </c>
      <c r="F12">
        <v>44</v>
      </c>
      <c r="G12">
        <v>52</v>
      </c>
      <c r="H12" t="s">
        <v>28</v>
      </c>
      <c r="I12" t="s">
        <v>22</v>
      </c>
    </row>
    <row r="13" spans="1:9" x14ac:dyDescent="0.2">
      <c r="A13">
        <v>12</v>
      </c>
      <c r="B13" t="s">
        <v>23</v>
      </c>
      <c r="C13" t="s">
        <v>25</v>
      </c>
      <c r="D13" s="1" t="s">
        <v>36</v>
      </c>
      <c r="E13">
        <v>304</v>
      </c>
      <c r="F13">
        <v>42</v>
      </c>
      <c r="G13">
        <v>89</v>
      </c>
      <c r="H13" t="s">
        <v>12</v>
      </c>
      <c r="I13" t="s">
        <v>13</v>
      </c>
    </row>
    <row r="14" spans="1:9" x14ac:dyDescent="0.2">
      <c r="A14">
        <v>13</v>
      </c>
      <c r="B14" t="s">
        <v>9</v>
      </c>
      <c r="C14" t="s">
        <v>14</v>
      </c>
      <c r="D14" s="1" t="s">
        <v>37</v>
      </c>
      <c r="E14">
        <v>45</v>
      </c>
      <c r="F14">
        <v>78</v>
      </c>
      <c r="G14">
        <v>375</v>
      </c>
      <c r="H14" t="s">
        <v>32</v>
      </c>
      <c r="I14" t="s">
        <v>22</v>
      </c>
    </row>
    <row r="15" spans="1:9" x14ac:dyDescent="0.2">
      <c r="A15">
        <v>14</v>
      </c>
      <c r="B15" t="s">
        <v>23</v>
      </c>
      <c r="C15" t="s">
        <v>30</v>
      </c>
      <c r="D15" s="1" t="s">
        <v>38</v>
      </c>
      <c r="E15">
        <v>1333</v>
      </c>
      <c r="F15">
        <v>144</v>
      </c>
      <c r="G15">
        <v>123</v>
      </c>
      <c r="H15" t="s">
        <v>32</v>
      </c>
      <c r="I15" t="s">
        <v>13</v>
      </c>
    </row>
    <row r="16" spans="1:9" x14ac:dyDescent="0.2">
      <c r="A16">
        <v>15</v>
      </c>
      <c r="B16" t="s">
        <v>9</v>
      </c>
      <c r="C16" t="s">
        <v>14</v>
      </c>
      <c r="D16" s="1" t="s">
        <v>39</v>
      </c>
      <c r="E16">
        <v>889</v>
      </c>
      <c r="F16">
        <v>314</v>
      </c>
      <c r="G16">
        <v>262</v>
      </c>
      <c r="H16" t="s">
        <v>40</v>
      </c>
      <c r="I16" t="s">
        <v>13</v>
      </c>
    </row>
    <row r="17" spans="1:9" x14ac:dyDescent="0.2">
      <c r="A17">
        <v>16</v>
      </c>
      <c r="B17" t="s">
        <v>23</v>
      </c>
      <c r="C17" t="s">
        <v>10</v>
      </c>
      <c r="D17" s="1" t="s">
        <v>41</v>
      </c>
      <c r="E17">
        <v>2348</v>
      </c>
      <c r="F17">
        <v>154</v>
      </c>
      <c r="G17">
        <v>18</v>
      </c>
      <c r="H17" t="s">
        <v>28</v>
      </c>
      <c r="I17" t="s">
        <v>17</v>
      </c>
    </row>
    <row r="18" spans="1:9" x14ac:dyDescent="0.2">
      <c r="A18">
        <v>17</v>
      </c>
      <c r="B18" t="s">
        <v>18</v>
      </c>
      <c r="C18" t="s">
        <v>19</v>
      </c>
      <c r="D18" s="1" t="s">
        <v>42</v>
      </c>
      <c r="E18">
        <v>2872</v>
      </c>
      <c r="F18">
        <v>10</v>
      </c>
      <c r="G18">
        <v>736</v>
      </c>
      <c r="H18" t="s">
        <v>43</v>
      </c>
      <c r="I18" t="s">
        <v>13</v>
      </c>
    </row>
    <row r="19" spans="1:9" x14ac:dyDescent="0.2">
      <c r="A19">
        <v>18</v>
      </c>
      <c r="B19" t="s">
        <v>23</v>
      </c>
      <c r="C19" t="s">
        <v>30</v>
      </c>
      <c r="D19" s="1" t="s">
        <v>44</v>
      </c>
      <c r="E19">
        <v>512</v>
      </c>
      <c r="F19">
        <v>123</v>
      </c>
      <c r="G19">
        <v>338</v>
      </c>
      <c r="H19" t="s">
        <v>16</v>
      </c>
      <c r="I19" t="s">
        <v>17</v>
      </c>
    </row>
    <row r="20" spans="1:9" x14ac:dyDescent="0.2">
      <c r="A20">
        <v>19</v>
      </c>
      <c r="B20" t="s">
        <v>23</v>
      </c>
      <c r="C20" t="s">
        <v>30</v>
      </c>
      <c r="D20" s="1" t="s">
        <v>45</v>
      </c>
      <c r="E20">
        <v>2013</v>
      </c>
      <c r="F20">
        <v>122</v>
      </c>
      <c r="G20">
        <v>183</v>
      </c>
      <c r="H20" t="s">
        <v>40</v>
      </c>
      <c r="I20" t="s">
        <v>13</v>
      </c>
    </row>
    <row r="21" spans="1:9" x14ac:dyDescent="0.2">
      <c r="A21">
        <v>20</v>
      </c>
      <c r="B21" t="s">
        <v>9</v>
      </c>
      <c r="C21" t="s">
        <v>10</v>
      </c>
      <c r="D21" s="1" t="s">
        <v>46</v>
      </c>
      <c r="E21">
        <v>455</v>
      </c>
      <c r="F21">
        <v>86</v>
      </c>
      <c r="G21">
        <v>79</v>
      </c>
      <c r="H21" t="s">
        <v>12</v>
      </c>
      <c r="I21" t="s">
        <v>13</v>
      </c>
    </row>
    <row r="22" spans="1:9" x14ac:dyDescent="0.2">
      <c r="A22">
        <v>21</v>
      </c>
      <c r="B22" t="s">
        <v>23</v>
      </c>
      <c r="C22" t="s">
        <v>19</v>
      </c>
      <c r="D22" s="1" t="s">
        <v>33</v>
      </c>
      <c r="E22">
        <v>559</v>
      </c>
      <c r="F22">
        <v>136</v>
      </c>
      <c r="G22">
        <v>55</v>
      </c>
      <c r="H22" t="s">
        <v>21</v>
      </c>
      <c r="I22" t="s">
        <v>17</v>
      </c>
    </row>
    <row r="23" spans="1:9" x14ac:dyDescent="0.2">
      <c r="A23">
        <v>22</v>
      </c>
      <c r="B23" t="s">
        <v>23</v>
      </c>
      <c r="C23" t="s">
        <v>14</v>
      </c>
      <c r="D23" s="1" t="s">
        <v>47</v>
      </c>
      <c r="E23">
        <v>1961</v>
      </c>
      <c r="F23">
        <v>44</v>
      </c>
      <c r="G23">
        <v>439</v>
      </c>
      <c r="H23" t="s">
        <v>40</v>
      </c>
      <c r="I23" t="s">
        <v>13</v>
      </c>
    </row>
    <row r="24" spans="1:9" x14ac:dyDescent="0.2">
      <c r="A24">
        <v>23</v>
      </c>
      <c r="B24" t="s">
        <v>23</v>
      </c>
      <c r="C24" t="s">
        <v>30</v>
      </c>
      <c r="D24" s="1" t="s">
        <v>48</v>
      </c>
      <c r="E24">
        <v>332</v>
      </c>
      <c r="F24">
        <v>109</v>
      </c>
      <c r="G24">
        <v>348</v>
      </c>
      <c r="H24" t="s">
        <v>40</v>
      </c>
      <c r="I24" t="s">
        <v>13</v>
      </c>
    </row>
    <row r="25" spans="1:9" x14ac:dyDescent="0.2">
      <c r="A25">
        <v>24</v>
      </c>
      <c r="B25" t="s">
        <v>18</v>
      </c>
      <c r="C25" t="s">
        <v>14</v>
      </c>
      <c r="D25" s="1" t="s">
        <v>49</v>
      </c>
      <c r="E25">
        <v>5000</v>
      </c>
      <c r="F25">
        <v>80</v>
      </c>
      <c r="G25">
        <v>399</v>
      </c>
      <c r="H25" t="s">
        <v>16</v>
      </c>
      <c r="I25" t="s">
        <v>13</v>
      </c>
    </row>
    <row r="26" spans="1:9" x14ac:dyDescent="0.2">
      <c r="A26">
        <v>25</v>
      </c>
      <c r="B26" t="s">
        <v>23</v>
      </c>
      <c r="C26" t="s">
        <v>19</v>
      </c>
      <c r="D26" s="1" t="s">
        <v>50</v>
      </c>
      <c r="E26">
        <v>898</v>
      </c>
      <c r="F26">
        <v>130</v>
      </c>
      <c r="G26">
        <v>480</v>
      </c>
      <c r="H26" t="s">
        <v>43</v>
      </c>
      <c r="I26" t="s">
        <v>13</v>
      </c>
    </row>
    <row r="27" spans="1:9" x14ac:dyDescent="0.2">
      <c r="A27">
        <v>26</v>
      </c>
      <c r="B27" t="s">
        <v>9</v>
      </c>
      <c r="C27" t="s">
        <v>14</v>
      </c>
      <c r="D27" s="1" t="s">
        <v>51</v>
      </c>
      <c r="E27">
        <v>1992</v>
      </c>
      <c r="F27">
        <v>70</v>
      </c>
      <c r="G27">
        <v>515</v>
      </c>
      <c r="H27" t="s">
        <v>12</v>
      </c>
      <c r="I27" t="s">
        <v>22</v>
      </c>
    </row>
    <row r="28" spans="1:9" x14ac:dyDescent="0.2">
      <c r="A28">
        <v>27</v>
      </c>
      <c r="B28" t="s">
        <v>18</v>
      </c>
      <c r="C28" t="s">
        <v>30</v>
      </c>
      <c r="D28" s="1" t="s">
        <v>52</v>
      </c>
      <c r="E28">
        <v>3161</v>
      </c>
      <c r="F28">
        <v>162</v>
      </c>
      <c r="G28">
        <v>137</v>
      </c>
      <c r="H28" t="s">
        <v>28</v>
      </c>
      <c r="I28" t="s">
        <v>13</v>
      </c>
    </row>
    <row r="29" spans="1:9" x14ac:dyDescent="0.2">
      <c r="A29">
        <v>28</v>
      </c>
      <c r="B29" t="s">
        <v>9</v>
      </c>
      <c r="C29" t="s">
        <v>19</v>
      </c>
      <c r="D29" s="1" t="s">
        <v>53</v>
      </c>
      <c r="E29">
        <v>2083</v>
      </c>
      <c r="F29">
        <v>500</v>
      </c>
      <c r="G29">
        <v>388</v>
      </c>
      <c r="H29" t="s">
        <v>43</v>
      </c>
      <c r="I29" t="s">
        <v>17</v>
      </c>
    </row>
    <row r="30" spans="1:9" x14ac:dyDescent="0.2">
      <c r="A30">
        <v>29</v>
      </c>
      <c r="B30" t="s">
        <v>9</v>
      </c>
      <c r="C30" t="s">
        <v>10</v>
      </c>
      <c r="D30" s="1" t="s">
        <v>54</v>
      </c>
      <c r="E30">
        <v>548</v>
      </c>
      <c r="F30">
        <v>153</v>
      </c>
      <c r="G30">
        <v>731</v>
      </c>
      <c r="H30" t="s">
        <v>32</v>
      </c>
      <c r="I30" t="s">
        <v>22</v>
      </c>
    </row>
    <row r="31" spans="1:9" x14ac:dyDescent="0.2">
      <c r="A31">
        <v>30</v>
      </c>
      <c r="B31" t="s">
        <v>9</v>
      </c>
      <c r="C31" t="s">
        <v>14</v>
      </c>
      <c r="D31" s="1" t="s">
        <v>55</v>
      </c>
      <c r="E31">
        <v>4594</v>
      </c>
      <c r="F31">
        <v>216</v>
      </c>
      <c r="G31">
        <v>739</v>
      </c>
      <c r="H31" t="s">
        <v>28</v>
      </c>
      <c r="I31" t="s">
        <v>13</v>
      </c>
    </row>
    <row r="32" spans="1:9" x14ac:dyDescent="0.2">
      <c r="A32">
        <v>31</v>
      </c>
      <c r="B32" t="s">
        <v>9</v>
      </c>
      <c r="C32" t="s">
        <v>19</v>
      </c>
      <c r="D32" s="1" t="s">
        <v>56</v>
      </c>
      <c r="E32">
        <v>4795</v>
      </c>
      <c r="F32">
        <v>449</v>
      </c>
      <c r="G32">
        <v>978</v>
      </c>
      <c r="H32" t="s">
        <v>16</v>
      </c>
      <c r="I32" t="s">
        <v>22</v>
      </c>
    </row>
    <row r="33" spans="1:9" x14ac:dyDescent="0.2">
      <c r="A33">
        <v>32</v>
      </c>
      <c r="B33" t="s">
        <v>18</v>
      </c>
      <c r="C33" t="s">
        <v>10</v>
      </c>
      <c r="D33" s="1" t="s">
        <v>57</v>
      </c>
      <c r="E33">
        <v>4665</v>
      </c>
      <c r="F33">
        <v>202</v>
      </c>
      <c r="G33">
        <v>183</v>
      </c>
      <c r="H33" t="s">
        <v>32</v>
      </c>
      <c r="I33" t="s">
        <v>13</v>
      </c>
    </row>
    <row r="34" spans="1:9" x14ac:dyDescent="0.2">
      <c r="A34">
        <v>33</v>
      </c>
      <c r="B34" t="s">
        <v>23</v>
      </c>
      <c r="C34" t="s">
        <v>25</v>
      </c>
      <c r="D34" s="1" t="s">
        <v>58</v>
      </c>
      <c r="E34">
        <v>119</v>
      </c>
      <c r="F34">
        <v>147</v>
      </c>
      <c r="G34">
        <v>240</v>
      </c>
      <c r="H34" t="s">
        <v>43</v>
      </c>
      <c r="I34" t="s">
        <v>13</v>
      </c>
    </row>
    <row r="35" spans="1:9" x14ac:dyDescent="0.2">
      <c r="A35">
        <v>34</v>
      </c>
      <c r="B35" t="s">
        <v>23</v>
      </c>
      <c r="C35" t="s">
        <v>19</v>
      </c>
      <c r="D35" s="1" t="s">
        <v>59</v>
      </c>
      <c r="E35">
        <v>2253</v>
      </c>
      <c r="F35">
        <v>162</v>
      </c>
      <c r="G35">
        <v>28</v>
      </c>
      <c r="H35" t="s">
        <v>12</v>
      </c>
      <c r="I35" t="s">
        <v>13</v>
      </c>
    </row>
    <row r="36" spans="1:9" x14ac:dyDescent="0.2">
      <c r="A36">
        <v>35</v>
      </c>
      <c r="B36" t="s">
        <v>18</v>
      </c>
      <c r="C36" t="s">
        <v>10</v>
      </c>
      <c r="D36" s="1" t="s">
        <v>60</v>
      </c>
      <c r="E36">
        <v>1309</v>
      </c>
      <c r="F36">
        <v>201</v>
      </c>
      <c r="G36">
        <v>852</v>
      </c>
      <c r="H36" t="s">
        <v>21</v>
      </c>
      <c r="I36" t="s">
        <v>22</v>
      </c>
    </row>
    <row r="37" spans="1:9" x14ac:dyDescent="0.2">
      <c r="A37">
        <v>36</v>
      </c>
      <c r="B37" t="s">
        <v>9</v>
      </c>
      <c r="C37" t="s">
        <v>25</v>
      </c>
      <c r="D37" s="1" t="s">
        <v>61</v>
      </c>
      <c r="E37">
        <v>5000</v>
      </c>
      <c r="F37">
        <v>500</v>
      </c>
      <c r="G37">
        <v>43</v>
      </c>
      <c r="H37" t="s">
        <v>32</v>
      </c>
      <c r="I37" t="s">
        <v>13</v>
      </c>
    </row>
    <row r="38" spans="1:9" x14ac:dyDescent="0.2">
      <c r="A38">
        <v>37</v>
      </c>
      <c r="B38" t="s">
        <v>9</v>
      </c>
      <c r="C38" t="s">
        <v>25</v>
      </c>
      <c r="D38" s="1" t="s">
        <v>62</v>
      </c>
      <c r="E38">
        <v>4245</v>
      </c>
      <c r="F38">
        <v>59</v>
      </c>
      <c r="G38">
        <v>83</v>
      </c>
      <c r="H38" t="s">
        <v>12</v>
      </c>
      <c r="I38" t="s">
        <v>17</v>
      </c>
    </row>
    <row r="39" spans="1:9" x14ac:dyDescent="0.2">
      <c r="A39">
        <v>38</v>
      </c>
      <c r="B39" t="s">
        <v>23</v>
      </c>
      <c r="C39" t="s">
        <v>19</v>
      </c>
      <c r="D39" s="1" t="s">
        <v>63</v>
      </c>
      <c r="E39">
        <v>2463</v>
      </c>
      <c r="F39">
        <v>187</v>
      </c>
      <c r="G39">
        <v>445</v>
      </c>
      <c r="H39" t="s">
        <v>21</v>
      </c>
      <c r="I39" t="s">
        <v>13</v>
      </c>
    </row>
    <row r="40" spans="1:9" x14ac:dyDescent="0.2">
      <c r="A40">
        <v>39</v>
      </c>
      <c r="B40" t="s">
        <v>9</v>
      </c>
      <c r="C40" t="s">
        <v>25</v>
      </c>
      <c r="D40" s="1" t="s">
        <v>64</v>
      </c>
      <c r="E40">
        <v>5000</v>
      </c>
      <c r="F40">
        <v>430</v>
      </c>
      <c r="G40">
        <v>980</v>
      </c>
      <c r="H40" t="s">
        <v>16</v>
      </c>
      <c r="I40" t="s">
        <v>17</v>
      </c>
    </row>
    <row r="41" spans="1:9" x14ac:dyDescent="0.2">
      <c r="A41">
        <v>40</v>
      </c>
      <c r="B41" t="s">
        <v>18</v>
      </c>
      <c r="C41" t="s">
        <v>14</v>
      </c>
      <c r="D41" s="1" t="s">
        <v>65</v>
      </c>
      <c r="E41">
        <v>447</v>
      </c>
      <c r="F41">
        <v>333</v>
      </c>
      <c r="G41">
        <v>845</v>
      </c>
      <c r="H41" t="s">
        <v>28</v>
      </c>
      <c r="I41" t="s">
        <v>22</v>
      </c>
    </row>
    <row r="42" spans="1:9" x14ac:dyDescent="0.2">
      <c r="A42">
        <v>41</v>
      </c>
      <c r="B42" t="s">
        <v>23</v>
      </c>
      <c r="C42" t="s">
        <v>14</v>
      </c>
      <c r="D42" s="1" t="s">
        <v>66</v>
      </c>
      <c r="E42">
        <v>667</v>
      </c>
      <c r="F42">
        <v>176</v>
      </c>
      <c r="G42">
        <v>461</v>
      </c>
      <c r="H42" t="s">
        <v>43</v>
      </c>
      <c r="I42" t="s">
        <v>13</v>
      </c>
    </row>
    <row r="43" spans="1:9" x14ac:dyDescent="0.2">
      <c r="A43">
        <v>42</v>
      </c>
      <c r="B43" t="s">
        <v>18</v>
      </c>
      <c r="C43" t="s">
        <v>25</v>
      </c>
      <c r="D43" s="1" t="s">
        <v>67</v>
      </c>
      <c r="E43">
        <v>4929</v>
      </c>
      <c r="F43">
        <v>252</v>
      </c>
      <c r="G43">
        <v>730</v>
      </c>
      <c r="H43" t="s">
        <v>12</v>
      </c>
      <c r="I43" t="s">
        <v>22</v>
      </c>
    </row>
    <row r="44" spans="1:9" x14ac:dyDescent="0.2">
      <c r="A44">
        <v>43</v>
      </c>
      <c r="B44" t="s">
        <v>23</v>
      </c>
      <c r="C44" t="s">
        <v>14</v>
      </c>
      <c r="D44" s="1" t="s">
        <v>68</v>
      </c>
      <c r="E44">
        <v>2586</v>
      </c>
      <c r="F44">
        <v>97</v>
      </c>
      <c r="G44">
        <v>85</v>
      </c>
      <c r="H44" t="s">
        <v>28</v>
      </c>
      <c r="I44" t="s">
        <v>13</v>
      </c>
    </row>
    <row r="45" spans="1:9" x14ac:dyDescent="0.2">
      <c r="A45">
        <v>44</v>
      </c>
      <c r="B45" t="s">
        <v>18</v>
      </c>
      <c r="C45" t="s">
        <v>30</v>
      </c>
      <c r="D45" s="1" t="s">
        <v>69</v>
      </c>
      <c r="E45">
        <v>3259</v>
      </c>
      <c r="F45">
        <v>50</v>
      </c>
      <c r="G45">
        <v>177</v>
      </c>
      <c r="H45" t="s">
        <v>12</v>
      </c>
      <c r="I45" t="s">
        <v>22</v>
      </c>
    </row>
    <row r="46" spans="1:9" x14ac:dyDescent="0.2">
      <c r="A46">
        <v>45</v>
      </c>
      <c r="B46" t="s">
        <v>23</v>
      </c>
      <c r="C46" t="s">
        <v>25</v>
      </c>
      <c r="D46" s="1" t="s">
        <v>70</v>
      </c>
      <c r="E46">
        <v>2236</v>
      </c>
      <c r="F46">
        <v>132</v>
      </c>
      <c r="G46">
        <v>118</v>
      </c>
      <c r="H46" t="s">
        <v>28</v>
      </c>
      <c r="I46" t="s">
        <v>13</v>
      </c>
    </row>
    <row r="47" spans="1:9" x14ac:dyDescent="0.2">
      <c r="A47">
        <v>46</v>
      </c>
      <c r="B47" t="s">
        <v>18</v>
      </c>
      <c r="C47" t="s">
        <v>30</v>
      </c>
      <c r="D47" s="1" t="s">
        <v>71</v>
      </c>
      <c r="E47">
        <v>2251</v>
      </c>
      <c r="F47">
        <v>380</v>
      </c>
      <c r="G47">
        <v>427</v>
      </c>
      <c r="H47" t="s">
        <v>21</v>
      </c>
      <c r="I47" t="s">
        <v>13</v>
      </c>
    </row>
    <row r="48" spans="1:9" x14ac:dyDescent="0.2">
      <c r="A48">
        <v>47</v>
      </c>
      <c r="B48" t="s">
        <v>9</v>
      </c>
      <c r="C48" t="s">
        <v>19</v>
      </c>
      <c r="D48" s="1" t="s">
        <v>72</v>
      </c>
      <c r="E48">
        <v>4726</v>
      </c>
      <c r="F48">
        <v>44</v>
      </c>
      <c r="G48">
        <v>993</v>
      </c>
      <c r="H48" t="s">
        <v>21</v>
      </c>
      <c r="I48" t="s">
        <v>22</v>
      </c>
    </row>
    <row r="49" spans="1:9" x14ac:dyDescent="0.2">
      <c r="A49">
        <v>48</v>
      </c>
      <c r="B49" t="s">
        <v>9</v>
      </c>
      <c r="C49" t="s">
        <v>25</v>
      </c>
      <c r="D49" s="1" t="s">
        <v>73</v>
      </c>
      <c r="E49">
        <v>5000</v>
      </c>
      <c r="F49">
        <v>232</v>
      </c>
      <c r="G49">
        <v>16</v>
      </c>
      <c r="H49" t="s">
        <v>43</v>
      </c>
      <c r="I49" t="s">
        <v>22</v>
      </c>
    </row>
    <row r="50" spans="1:9" x14ac:dyDescent="0.2">
      <c r="A50">
        <v>49</v>
      </c>
      <c r="B50" t="s">
        <v>23</v>
      </c>
      <c r="C50" t="s">
        <v>10</v>
      </c>
      <c r="D50" s="1" t="s">
        <v>74</v>
      </c>
      <c r="E50">
        <v>725</v>
      </c>
      <c r="F50">
        <v>169</v>
      </c>
      <c r="G50">
        <v>298</v>
      </c>
      <c r="H50" t="s">
        <v>40</v>
      </c>
      <c r="I50" t="s">
        <v>17</v>
      </c>
    </row>
    <row r="51" spans="1:9" x14ac:dyDescent="0.2">
      <c r="A51">
        <v>50</v>
      </c>
      <c r="B51" t="s">
        <v>18</v>
      </c>
      <c r="C51" t="s">
        <v>30</v>
      </c>
      <c r="D51" s="1" t="s">
        <v>75</v>
      </c>
      <c r="E51">
        <v>1551</v>
      </c>
      <c r="F51">
        <v>206</v>
      </c>
      <c r="G51">
        <v>127</v>
      </c>
      <c r="H51" t="s">
        <v>43</v>
      </c>
      <c r="I51" t="s">
        <v>22</v>
      </c>
    </row>
    <row r="52" spans="1:9" x14ac:dyDescent="0.2">
      <c r="A52">
        <v>51</v>
      </c>
      <c r="B52" t="s">
        <v>23</v>
      </c>
      <c r="C52" t="s">
        <v>30</v>
      </c>
      <c r="D52" s="1" t="s">
        <v>76</v>
      </c>
      <c r="E52">
        <v>1268</v>
      </c>
      <c r="F52">
        <v>73</v>
      </c>
      <c r="G52">
        <v>251</v>
      </c>
      <c r="H52" t="s">
        <v>21</v>
      </c>
      <c r="I52" t="s">
        <v>13</v>
      </c>
    </row>
    <row r="53" spans="1:9" x14ac:dyDescent="0.2">
      <c r="A53">
        <v>52</v>
      </c>
      <c r="B53" t="s">
        <v>23</v>
      </c>
      <c r="C53" t="s">
        <v>10</v>
      </c>
      <c r="D53" s="1" t="s">
        <v>77</v>
      </c>
      <c r="E53">
        <v>950</v>
      </c>
      <c r="F53">
        <v>113</v>
      </c>
      <c r="G53">
        <v>327</v>
      </c>
      <c r="H53" t="s">
        <v>28</v>
      </c>
      <c r="I53" t="s">
        <v>13</v>
      </c>
    </row>
    <row r="54" spans="1:9" x14ac:dyDescent="0.2">
      <c r="A54">
        <v>53</v>
      </c>
      <c r="B54" t="s">
        <v>23</v>
      </c>
      <c r="C54" t="s">
        <v>25</v>
      </c>
      <c r="D54" s="1" t="s">
        <v>78</v>
      </c>
      <c r="E54">
        <v>1498</v>
      </c>
      <c r="F54">
        <v>46</v>
      </c>
      <c r="G54">
        <v>96</v>
      </c>
      <c r="H54" t="s">
        <v>16</v>
      </c>
      <c r="I54" t="s">
        <v>13</v>
      </c>
    </row>
    <row r="55" spans="1:9" x14ac:dyDescent="0.2">
      <c r="A55">
        <v>54</v>
      </c>
      <c r="B55" t="s">
        <v>18</v>
      </c>
      <c r="C55" t="s">
        <v>10</v>
      </c>
      <c r="D55" s="1" t="s">
        <v>79</v>
      </c>
      <c r="E55">
        <v>4297</v>
      </c>
      <c r="F55">
        <v>360</v>
      </c>
      <c r="G55">
        <v>825</v>
      </c>
      <c r="H55" t="s">
        <v>32</v>
      </c>
      <c r="I55" t="s">
        <v>22</v>
      </c>
    </row>
    <row r="56" spans="1:9" x14ac:dyDescent="0.2">
      <c r="A56">
        <v>55</v>
      </c>
      <c r="B56" t="s">
        <v>23</v>
      </c>
      <c r="C56" t="s">
        <v>14</v>
      </c>
      <c r="D56" s="1" t="s">
        <v>80</v>
      </c>
      <c r="E56">
        <v>592</v>
      </c>
      <c r="F56">
        <v>34</v>
      </c>
      <c r="G56">
        <v>496</v>
      </c>
      <c r="H56" t="s">
        <v>40</v>
      </c>
      <c r="I56" t="s">
        <v>17</v>
      </c>
    </row>
    <row r="57" spans="1:9" x14ac:dyDescent="0.2">
      <c r="A57">
        <v>56</v>
      </c>
      <c r="B57" t="s">
        <v>18</v>
      </c>
      <c r="C57" t="s">
        <v>10</v>
      </c>
      <c r="D57" s="1" t="s">
        <v>81</v>
      </c>
      <c r="E57">
        <v>3401</v>
      </c>
      <c r="F57">
        <v>190</v>
      </c>
      <c r="G57">
        <v>230</v>
      </c>
      <c r="H57" t="s">
        <v>40</v>
      </c>
      <c r="I57" t="s">
        <v>22</v>
      </c>
    </row>
    <row r="58" spans="1:9" x14ac:dyDescent="0.2">
      <c r="A58">
        <v>57</v>
      </c>
      <c r="B58" t="s">
        <v>18</v>
      </c>
      <c r="C58" t="s">
        <v>25</v>
      </c>
      <c r="D58" s="1" t="s">
        <v>82</v>
      </c>
      <c r="E58">
        <v>4846</v>
      </c>
      <c r="F58">
        <v>134</v>
      </c>
      <c r="G58">
        <v>498</v>
      </c>
      <c r="H58" t="s">
        <v>12</v>
      </c>
      <c r="I58" t="s">
        <v>17</v>
      </c>
    </row>
    <row r="59" spans="1:9" x14ac:dyDescent="0.2">
      <c r="A59">
        <v>58</v>
      </c>
      <c r="B59" t="s">
        <v>9</v>
      </c>
      <c r="C59" t="s">
        <v>25</v>
      </c>
      <c r="D59" s="1" t="s">
        <v>83</v>
      </c>
      <c r="E59">
        <v>2204</v>
      </c>
      <c r="F59">
        <v>116</v>
      </c>
      <c r="G59">
        <v>728</v>
      </c>
      <c r="H59" t="s">
        <v>43</v>
      </c>
      <c r="I59" t="s">
        <v>17</v>
      </c>
    </row>
    <row r="60" spans="1:9" x14ac:dyDescent="0.2">
      <c r="A60">
        <v>59</v>
      </c>
      <c r="B60" t="s">
        <v>23</v>
      </c>
      <c r="C60" t="s">
        <v>25</v>
      </c>
      <c r="D60" s="1" t="s">
        <v>84</v>
      </c>
      <c r="E60">
        <v>344</v>
      </c>
      <c r="F60">
        <v>99</v>
      </c>
      <c r="G60">
        <v>194</v>
      </c>
      <c r="H60" t="s">
        <v>16</v>
      </c>
      <c r="I60" t="s">
        <v>17</v>
      </c>
    </row>
    <row r="61" spans="1:9" x14ac:dyDescent="0.2">
      <c r="A61">
        <v>60</v>
      </c>
      <c r="B61" t="s">
        <v>18</v>
      </c>
      <c r="C61" t="s">
        <v>14</v>
      </c>
      <c r="D61" s="1" t="s">
        <v>85</v>
      </c>
      <c r="E61">
        <v>4763</v>
      </c>
      <c r="F61">
        <v>332</v>
      </c>
      <c r="G61">
        <v>956</v>
      </c>
      <c r="H61" t="s">
        <v>28</v>
      </c>
      <c r="I61" t="s">
        <v>13</v>
      </c>
    </row>
    <row r="62" spans="1:9" x14ac:dyDescent="0.2">
      <c r="A62">
        <v>61</v>
      </c>
      <c r="B62" t="s">
        <v>18</v>
      </c>
      <c r="C62" t="s">
        <v>25</v>
      </c>
      <c r="D62" s="1" t="s">
        <v>86</v>
      </c>
      <c r="E62">
        <v>3544</v>
      </c>
      <c r="F62">
        <v>167</v>
      </c>
      <c r="G62">
        <v>761</v>
      </c>
      <c r="H62" t="s">
        <v>16</v>
      </c>
      <c r="I62" t="s">
        <v>22</v>
      </c>
    </row>
    <row r="63" spans="1:9" x14ac:dyDescent="0.2">
      <c r="A63">
        <v>62</v>
      </c>
      <c r="B63" t="s">
        <v>9</v>
      </c>
      <c r="C63" t="s">
        <v>14</v>
      </c>
      <c r="D63" s="1" t="s">
        <v>87</v>
      </c>
      <c r="E63">
        <v>3742</v>
      </c>
      <c r="F63">
        <v>227</v>
      </c>
      <c r="G63">
        <v>849</v>
      </c>
      <c r="H63" t="s">
        <v>28</v>
      </c>
      <c r="I63" t="s">
        <v>22</v>
      </c>
    </row>
    <row r="64" spans="1:9" x14ac:dyDescent="0.2">
      <c r="A64">
        <v>63</v>
      </c>
      <c r="B64" t="s">
        <v>23</v>
      </c>
      <c r="C64" t="s">
        <v>10</v>
      </c>
      <c r="D64" s="1" t="s">
        <v>88</v>
      </c>
      <c r="E64">
        <v>227</v>
      </c>
      <c r="F64">
        <v>163</v>
      </c>
      <c r="G64">
        <v>127</v>
      </c>
      <c r="H64" t="s">
        <v>40</v>
      </c>
      <c r="I64" t="s">
        <v>17</v>
      </c>
    </row>
    <row r="65" spans="1:9" x14ac:dyDescent="0.2">
      <c r="A65">
        <v>64</v>
      </c>
      <c r="B65" t="s">
        <v>18</v>
      </c>
      <c r="C65" t="s">
        <v>14</v>
      </c>
      <c r="D65" s="1" t="s">
        <v>89</v>
      </c>
      <c r="E65">
        <v>130</v>
      </c>
      <c r="F65">
        <v>452</v>
      </c>
      <c r="G65">
        <v>724</v>
      </c>
      <c r="H65" t="s">
        <v>43</v>
      </c>
      <c r="I65" t="s">
        <v>17</v>
      </c>
    </row>
    <row r="66" spans="1:9" x14ac:dyDescent="0.2">
      <c r="A66">
        <v>65</v>
      </c>
      <c r="B66" t="s">
        <v>18</v>
      </c>
      <c r="C66" t="s">
        <v>10</v>
      </c>
      <c r="D66" s="1" t="s">
        <v>90</v>
      </c>
      <c r="E66">
        <v>3982</v>
      </c>
      <c r="F66">
        <v>314</v>
      </c>
      <c r="G66">
        <v>326</v>
      </c>
      <c r="H66" t="s">
        <v>43</v>
      </c>
      <c r="I66" t="s">
        <v>13</v>
      </c>
    </row>
    <row r="67" spans="1:9" x14ac:dyDescent="0.2">
      <c r="A67">
        <v>66</v>
      </c>
      <c r="B67" t="s">
        <v>9</v>
      </c>
      <c r="C67" t="s">
        <v>30</v>
      </c>
      <c r="D67" s="1" t="s">
        <v>91</v>
      </c>
      <c r="E67">
        <v>2265</v>
      </c>
      <c r="F67">
        <v>39</v>
      </c>
      <c r="G67">
        <v>318</v>
      </c>
      <c r="H67" t="s">
        <v>21</v>
      </c>
      <c r="I67" t="s">
        <v>13</v>
      </c>
    </row>
    <row r="68" spans="1:9" x14ac:dyDescent="0.2">
      <c r="A68">
        <v>67</v>
      </c>
      <c r="B68" t="s">
        <v>9</v>
      </c>
      <c r="C68" t="s">
        <v>14</v>
      </c>
      <c r="D68" s="1" t="s">
        <v>92</v>
      </c>
      <c r="E68">
        <v>2026</v>
      </c>
      <c r="F68">
        <v>390</v>
      </c>
      <c r="G68">
        <v>165</v>
      </c>
      <c r="H68" t="s">
        <v>16</v>
      </c>
      <c r="I68" t="s">
        <v>22</v>
      </c>
    </row>
    <row r="69" spans="1:9" x14ac:dyDescent="0.2">
      <c r="A69">
        <v>68</v>
      </c>
      <c r="B69" t="s">
        <v>18</v>
      </c>
      <c r="C69" t="s">
        <v>25</v>
      </c>
      <c r="D69" s="1" t="s">
        <v>93</v>
      </c>
      <c r="E69">
        <v>560</v>
      </c>
      <c r="F69">
        <v>486</v>
      </c>
      <c r="G69">
        <v>677</v>
      </c>
      <c r="H69" t="s">
        <v>12</v>
      </c>
      <c r="I69" t="s">
        <v>22</v>
      </c>
    </row>
    <row r="70" spans="1:9" x14ac:dyDescent="0.2">
      <c r="A70">
        <v>69</v>
      </c>
      <c r="B70" t="s">
        <v>23</v>
      </c>
      <c r="C70" t="s">
        <v>10</v>
      </c>
      <c r="D70" s="1" t="s">
        <v>94</v>
      </c>
      <c r="E70">
        <v>187</v>
      </c>
      <c r="F70">
        <v>89</v>
      </c>
      <c r="G70">
        <v>284</v>
      </c>
      <c r="H70" t="s">
        <v>32</v>
      </c>
      <c r="I70" t="s">
        <v>17</v>
      </c>
    </row>
    <row r="71" spans="1:9" x14ac:dyDescent="0.2">
      <c r="A71">
        <v>70</v>
      </c>
      <c r="B71" t="s">
        <v>9</v>
      </c>
      <c r="C71" t="s">
        <v>30</v>
      </c>
      <c r="D71" s="1" t="s">
        <v>95</v>
      </c>
      <c r="E71">
        <v>3094</v>
      </c>
      <c r="F71">
        <v>86</v>
      </c>
      <c r="G71">
        <v>965</v>
      </c>
      <c r="H71" t="s">
        <v>40</v>
      </c>
      <c r="I71" t="s">
        <v>22</v>
      </c>
    </row>
    <row r="72" spans="1:9" x14ac:dyDescent="0.2">
      <c r="A72">
        <v>71</v>
      </c>
      <c r="B72" t="s">
        <v>18</v>
      </c>
      <c r="C72" t="s">
        <v>25</v>
      </c>
      <c r="D72" s="1" t="s">
        <v>96</v>
      </c>
      <c r="E72">
        <v>3398</v>
      </c>
      <c r="F72">
        <v>261</v>
      </c>
      <c r="G72">
        <v>630</v>
      </c>
      <c r="H72" t="s">
        <v>40</v>
      </c>
      <c r="I72" t="s">
        <v>17</v>
      </c>
    </row>
    <row r="73" spans="1:9" x14ac:dyDescent="0.2">
      <c r="A73">
        <v>72</v>
      </c>
      <c r="B73" t="s">
        <v>9</v>
      </c>
      <c r="C73" t="s">
        <v>14</v>
      </c>
      <c r="D73" s="1" t="s">
        <v>97</v>
      </c>
      <c r="E73">
        <v>1690</v>
      </c>
      <c r="F73">
        <v>257</v>
      </c>
      <c r="G73">
        <v>656</v>
      </c>
      <c r="H73" t="s">
        <v>28</v>
      </c>
      <c r="I73" t="s">
        <v>17</v>
      </c>
    </row>
    <row r="74" spans="1:9" x14ac:dyDescent="0.2">
      <c r="A74">
        <v>73</v>
      </c>
      <c r="B74" t="s">
        <v>9</v>
      </c>
      <c r="C74" t="s">
        <v>30</v>
      </c>
      <c r="D74" s="1" t="s">
        <v>98</v>
      </c>
      <c r="E74">
        <v>3026</v>
      </c>
      <c r="F74">
        <v>11</v>
      </c>
      <c r="G74">
        <v>761</v>
      </c>
      <c r="H74" t="s">
        <v>21</v>
      </c>
      <c r="I74" t="s">
        <v>13</v>
      </c>
    </row>
    <row r="75" spans="1:9" x14ac:dyDescent="0.2">
      <c r="A75">
        <v>74</v>
      </c>
      <c r="B75" t="s">
        <v>18</v>
      </c>
      <c r="C75" t="s">
        <v>25</v>
      </c>
      <c r="D75" s="1" t="s">
        <v>99</v>
      </c>
      <c r="E75">
        <v>5000</v>
      </c>
      <c r="F75">
        <v>454</v>
      </c>
      <c r="G75">
        <v>744</v>
      </c>
      <c r="H75" t="s">
        <v>28</v>
      </c>
      <c r="I75" t="s">
        <v>13</v>
      </c>
    </row>
    <row r="76" spans="1:9" x14ac:dyDescent="0.2">
      <c r="A76">
        <v>75</v>
      </c>
      <c r="B76" t="s">
        <v>9</v>
      </c>
      <c r="C76" t="s">
        <v>25</v>
      </c>
      <c r="D76" s="1" t="s">
        <v>100</v>
      </c>
      <c r="E76">
        <v>5000</v>
      </c>
      <c r="F76">
        <v>500</v>
      </c>
      <c r="G76">
        <v>404</v>
      </c>
      <c r="H76" t="s">
        <v>43</v>
      </c>
      <c r="I76" t="s">
        <v>13</v>
      </c>
    </row>
    <row r="77" spans="1:9" x14ac:dyDescent="0.2">
      <c r="A77">
        <v>76</v>
      </c>
      <c r="B77" t="s">
        <v>18</v>
      </c>
      <c r="C77" t="s">
        <v>30</v>
      </c>
      <c r="D77" s="1" t="s">
        <v>101</v>
      </c>
      <c r="E77">
        <v>2153</v>
      </c>
      <c r="F77">
        <v>81</v>
      </c>
      <c r="G77">
        <v>114</v>
      </c>
      <c r="H77" t="s">
        <v>12</v>
      </c>
      <c r="I77" t="s">
        <v>17</v>
      </c>
    </row>
    <row r="78" spans="1:9" x14ac:dyDescent="0.2">
      <c r="A78">
        <v>77</v>
      </c>
      <c r="B78" t="s">
        <v>23</v>
      </c>
      <c r="C78" t="s">
        <v>14</v>
      </c>
      <c r="D78" s="1" t="s">
        <v>102</v>
      </c>
      <c r="E78">
        <v>3571</v>
      </c>
      <c r="F78">
        <v>102</v>
      </c>
      <c r="G78">
        <v>96</v>
      </c>
      <c r="H78" t="s">
        <v>43</v>
      </c>
      <c r="I78" t="s">
        <v>13</v>
      </c>
    </row>
    <row r="79" spans="1:9" x14ac:dyDescent="0.2">
      <c r="A79">
        <v>78</v>
      </c>
      <c r="B79" t="s">
        <v>18</v>
      </c>
      <c r="C79" t="s">
        <v>19</v>
      </c>
      <c r="D79" s="1" t="s">
        <v>103</v>
      </c>
      <c r="E79">
        <v>2990</v>
      </c>
      <c r="F79">
        <v>30</v>
      </c>
      <c r="G79">
        <v>365</v>
      </c>
      <c r="H79" t="s">
        <v>12</v>
      </c>
      <c r="I79" t="s">
        <v>13</v>
      </c>
    </row>
    <row r="80" spans="1:9" x14ac:dyDescent="0.2">
      <c r="A80">
        <v>79</v>
      </c>
      <c r="B80" t="s">
        <v>18</v>
      </c>
      <c r="C80" t="s">
        <v>14</v>
      </c>
      <c r="D80" s="1" t="s">
        <v>104</v>
      </c>
      <c r="E80">
        <v>4678</v>
      </c>
      <c r="F80">
        <v>189</v>
      </c>
      <c r="G80">
        <v>785</v>
      </c>
      <c r="H80" t="s">
        <v>43</v>
      </c>
      <c r="I80" t="s">
        <v>13</v>
      </c>
    </row>
    <row r="81" spans="1:9" x14ac:dyDescent="0.2">
      <c r="A81">
        <v>80</v>
      </c>
      <c r="B81" t="s">
        <v>9</v>
      </c>
      <c r="C81" t="s">
        <v>30</v>
      </c>
      <c r="D81" s="1" t="s">
        <v>105</v>
      </c>
      <c r="E81">
        <v>553</v>
      </c>
      <c r="F81">
        <v>320</v>
      </c>
      <c r="G81">
        <v>312</v>
      </c>
      <c r="H81" t="s">
        <v>16</v>
      </c>
      <c r="I81" t="s">
        <v>13</v>
      </c>
    </row>
    <row r="82" spans="1:9" x14ac:dyDescent="0.2">
      <c r="A82">
        <v>81</v>
      </c>
      <c r="B82" t="s">
        <v>9</v>
      </c>
      <c r="C82" t="s">
        <v>25</v>
      </c>
      <c r="D82" s="1" t="s">
        <v>106</v>
      </c>
      <c r="E82">
        <v>2642</v>
      </c>
      <c r="F82">
        <v>33</v>
      </c>
      <c r="G82">
        <v>413</v>
      </c>
      <c r="H82" t="s">
        <v>43</v>
      </c>
      <c r="I82" t="s">
        <v>17</v>
      </c>
    </row>
    <row r="83" spans="1:9" x14ac:dyDescent="0.2">
      <c r="A83">
        <v>82</v>
      </c>
      <c r="B83" t="s">
        <v>18</v>
      </c>
      <c r="C83" t="s">
        <v>14</v>
      </c>
      <c r="D83" s="1" t="s">
        <v>107</v>
      </c>
      <c r="E83">
        <v>4656</v>
      </c>
      <c r="F83">
        <v>314</v>
      </c>
      <c r="G83">
        <v>757</v>
      </c>
      <c r="H83" t="s">
        <v>16</v>
      </c>
      <c r="I83" t="s">
        <v>22</v>
      </c>
    </row>
    <row r="84" spans="1:9" x14ac:dyDescent="0.2">
      <c r="A84">
        <v>83</v>
      </c>
      <c r="B84" t="s">
        <v>18</v>
      </c>
      <c r="C84" t="s">
        <v>25</v>
      </c>
      <c r="D84" s="1" t="s">
        <v>108</v>
      </c>
      <c r="E84">
        <v>5000</v>
      </c>
      <c r="F84">
        <v>173</v>
      </c>
      <c r="G84">
        <v>792</v>
      </c>
      <c r="H84" t="s">
        <v>43</v>
      </c>
      <c r="I84" t="s">
        <v>22</v>
      </c>
    </row>
    <row r="85" spans="1:9" x14ac:dyDescent="0.2">
      <c r="A85">
        <v>84</v>
      </c>
      <c r="B85" t="s">
        <v>9</v>
      </c>
      <c r="C85" t="s">
        <v>14</v>
      </c>
      <c r="D85" s="1" t="s">
        <v>109</v>
      </c>
      <c r="E85">
        <v>1203</v>
      </c>
      <c r="F85">
        <v>263</v>
      </c>
      <c r="G85">
        <v>417</v>
      </c>
      <c r="H85" t="s">
        <v>21</v>
      </c>
      <c r="I85" t="s">
        <v>22</v>
      </c>
    </row>
    <row r="86" spans="1:9" x14ac:dyDescent="0.2">
      <c r="A86">
        <v>85</v>
      </c>
      <c r="B86" t="s">
        <v>9</v>
      </c>
      <c r="C86" t="s">
        <v>30</v>
      </c>
      <c r="D86" s="1" t="s">
        <v>110</v>
      </c>
      <c r="E86">
        <v>2566</v>
      </c>
      <c r="F86">
        <v>368</v>
      </c>
      <c r="G86">
        <v>304</v>
      </c>
      <c r="H86" t="s">
        <v>12</v>
      </c>
      <c r="I86" t="s">
        <v>17</v>
      </c>
    </row>
    <row r="87" spans="1:9" x14ac:dyDescent="0.2">
      <c r="A87">
        <v>86</v>
      </c>
      <c r="B87" t="s">
        <v>23</v>
      </c>
      <c r="C87" t="s">
        <v>30</v>
      </c>
      <c r="D87" s="1" t="s">
        <v>111</v>
      </c>
      <c r="E87">
        <v>2416</v>
      </c>
      <c r="F87">
        <v>50</v>
      </c>
      <c r="G87">
        <v>62</v>
      </c>
      <c r="H87" t="s">
        <v>32</v>
      </c>
      <c r="I87" t="s">
        <v>13</v>
      </c>
    </row>
    <row r="88" spans="1:9" x14ac:dyDescent="0.2">
      <c r="A88">
        <v>87</v>
      </c>
      <c r="B88" t="s">
        <v>18</v>
      </c>
      <c r="C88" t="s">
        <v>30</v>
      </c>
      <c r="D88" s="1" t="s">
        <v>112</v>
      </c>
      <c r="E88">
        <v>15</v>
      </c>
      <c r="F88">
        <v>70</v>
      </c>
      <c r="G88">
        <v>454</v>
      </c>
      <c r="H88" t="s">
        <v>21</v>
      </c>
      <c r="I88" t="s">
        <v>17</v>
      </c>
    </row>
    <row r="89" spans="1:9" x14ac:dyDescent="0.2">
      <c r="A89">
        <v>88</v>
      </c>
      <c r="B89" t="s">
        <v>9</v>
      </c>
      <c r="C89" t="s">
        <v>30</v>
      </c>
      <c r="D89" s="1" t="s">
        <v>113</v>
      </c>
      <c r="E89">
        <v>3404</v>
      </c>
      <c r="F89">
        <v>244</v>
      </c>
      <c r="G89">
        <v>67</v>
      </c>
      <c r="H89" t="s">
        <v>43</v>
      </c>
      <c r="I89" t="s">
        <v>13</v>
      </c>
    </row>
    <row r="90" spans="1:9" x14ac:dyDescent="0.2">
      <c r="A90">
        <v>89</v>
      </c>
      <c r="B90" t="s">
        <v>23</v>
      </c>
      <c r="C90" t="s">
        <v>14</v>
      </c>
      <c r="D90" s="1" t="s">
        <v>114</v>
      </c>
      <c r="E90">
        <v>2884</v>
      </c>
      <c r="F90">
        <v>197</v>
      </c>
      <c r="G90">
        <v>339</v>
      </c>
      <c r="H90" t="s">
        <v>43</v>
      </c>
      <c r="I90" t="s">
        <v>13</v>
      </c>
    </row>
    <row r="91" spans="1:9" x14ac:dyDescent="0.2">
      <c r="A91">
        <v>90</v>
      </c>
      <c r="B91" t="s">
        <v>18</v>
      </c>
      <c r="C91" t="s">
        <v>19</v>
      </c>
      <c r="D91" s="1" t="s">
        <v>115</v>
      </c>
      <c r="E91">
        <v>3195</v>
      </c>
      <c r="F91">
        <v>109</v>
      </c>
      <c r="G91">
        <v>243</v>
      </c>
      <c r="H91" t="s">
        <v>16</v>
      </c>
      <c r="I91" t="s">
        <v>22</v>
      </c>
    </row>
    <row r="92" spans="1:9" x14ac:dyDescent="0.2">
      <c r="A92">
        <v>91</v>
      </c>
      <c r="B92" t="s">
        <v>9</v>
      </c>
      <c r="C92" t="s">
        <v>14</v>
      </c>
      <c r="D92" s="1" t="s">
        <v>116</v>
      </c>
      <c r="E92">
        <v>3956</v>
      </c>
      <c r="F92">
        <v>402</v>
      </c>
      <c r="G92">
        <v>462</v>
      </c>
      <c r="H92" t="s">
        <v>28</v>
      </c>
      <c r="I92" t="s">
        <v>22</v>
      </c>
    </row>
    <row r="93" spans="1:9" x14ac:dyDescent="0.2">
      <c r="A93">
        <v>92</v>
      </c>
      <c r="B93" t="s">
        <v>9</v>
      </c>
      <c r="C93" t="s">
        <v>25</v>
      </c>
      <c r="D93" s="1" t="s">
        <v>117</v>
      </c>
      <c r="E93">
        <v>1857</v>
      </c>
      <c r="F93">
        <v>216</v>
      </c>
      <c r="G93">
        <v>344</v>
      </c>
      <c r="H93" t="s">
        <v>12</v>
      </c>
      <c r="I93" t="s">
        <v>13</v>
      </c>
    </row>
    <row r="94" spans="1:9" x14ac:dyDescent="0.2">
      <c r="A94">
        <v>93</v>
      </c>
      <c r="B94" t="s">
        <v>18</v>
      </c>
      <c r="C94" t="s">
        <v>14</v>
      </c>
      <c r="D94" s="1" t="s">
        <v>118</v>
      </c>
      <c r="E94">
        <v>951</v>
      </c>
      <c r="F94">
        <v>432</v>
      </c>
      <c r="G94">
        <v>734</v>
      </c>
      <c r="H94" t="s">
        <v>16</v>
      </c>
      <c r="I94" t="s">
        <v>22</v>
      </c>
    </row>
    <row r="95" spans="1:9" x14ac:dyDescent="0.2">
      <c r="A95">
        <v>94</v>
      </c>
      <c r="B95" t="s">
        <v>9</v>
      </c>
      <c r="C95" t="s">
        <v>10</v>
      </c>
      <c r="D95" s="1" t="s">
        <v>119</v>
      </c>
      <c r="E95">
        <v>1694</v>
      </c>
      <c r="F95">
        <v>207</v>
      </c>
      <c r="G95">
        <v>290</v>
      </c>
      <c r="H95" t="s">
        <v>40</v>
      </c>
      <c r="I95" t="s">
        <v>13</v>
      </c>
    </row>
    <row r="96" spans="1:9" x14ac:dyDescent="0.2">
      <c r="A96">
        <v>95</v>
      </c>
      <c r="B96" t="s">
        <v>18</v>
      </c>
      <c r="C96" t="s">
        <v>19</v>
      </c>
      <c r="D96" s="1" t="s">
        <v>120</v>
      </c>
      <c r="E96">
        <v>3005</v>
      </c>
      <c r="F96">
        <v>124</v>
      </c>
      <c r="G96">
        <v>517</v>
      </c>
      <c r="H96" t="s">
        <v>21</v>
      </c>
      <c r="I96" t="s">
        <v>13</v>
      </c>
    </row>
    <row r="97" spans="1:9" x14ac:dyDescent="0.2">
      <c r="A97">
        <v>96</v>
      </c>
      <c r="B97" t="s">
        <v>18</v>
      </c>
      <c r="C97" t="s">
        <v>14</v>
      </c>
      <c r="D97" s="1" t="s">
        <v>121</v>
      </c>
      <c r="E97">
        <v>36</v>
      </c>
      <c r="F97">
        <v>294</v>
      </c>
      <c r="G97">
        <v>911</v>
      </c>
      <c r="H97" t="s">
        <v>43</v>
      </c>
      <c r="I97" t="s">
        <v>13</v>
      </c>
    </row>
    <row r="98" spans="1:9" x14ac:dyDescent="0.2">
      <c r="A98">
        <v>97</v>
      </c>
      <c r="B98" t="s">
        <v>23</v>
      </c>
      <c r="C98" t="s">
        <v>25</v>
      </c>
      <c r="D98" s="1" t="s">
        <v>122</v>
      </c>
      <c r="E98">
        <v>314</v>
      </c>
      <c r="F98">
        <v>108</v>
      </c>
      <c r="G98">
        <v>458</v>
      </c>
      <c r="H98" t="s">
        <v>28</v>
      </c>
      <c r="I98" t="s">
        <v>17</v>
      </c>
    </row>
    <row r="99" spans="1:9" x14ac:dyDescent="0.2">
      <c r="A99">
        <v>98</v>
      </c>
      <c r="B99" t="s">
        <v>23</v>
      </c>
      <c r="C99" t="s">
        <v>30</v>
      </c>
      <c r="D99" s="1" t="s">
        <v>123</v>
      </c>
      <c r="E99">
        <v>229</v>
      </c>
      <c r="F99">
        <v>179</v>
      </c>
      <c r="G99">
        <v>38</v>
      </c>
      <c r="H99" t="s">
        <v>32</v>
      </c>
      <c r="I99" t="s">
        <v>13</v>
      </c>
    </row>
    <row r="100" spans="1:9" x14ac:dyDescent="0.2">
      <c r="A100">
        <v>99</v>
      </c>
      <c r="B100" t="s">
        <v>18</v>
      </c>
      <c r="C100" t="s">
        <v>19</v>
      </c>
      <c r="D100" s="1" t="s">
        <v>124</v>
      </c>
      <c r="E100">
        <v>5000</v>
      </c>
      <c r="F100">
        <v>500</v>
      </c>
      <c r="G100">
        <v>204</v>
      </c>
      <c r="H100" t="s">
        <v>28</v>
      </c>
      <c r="I100" t="s">
        <v>13</v>
      </c>
    </row>
    <row r="101" spans="1:9" x14ac:dyDescent="0.2">
      <c r="A101">
        <v>100</v>
      </c>
      <c r="B101" t="s">
        <v>18</v>
      </c>
      <c r="C101" t="s">
        <v>10</v>
      </c>
      <c r="D101" s="1" t="s">
        <v>125</v>
      </c>
      <c r="E101">
        <v>4483</v>
      </c>
      <c r="F101">
        <v>357</v>
      </c>
      <c r="G101">
        <v>25</v>
      </c>
      <c r="H101" t="s">
        <v>21</v>
      </c>
      <c r="I101" t="s">
        <v>17</v>
      </c>
    </row>
  </sheetData>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1"/>
  <sheetViews>
    <sheetView workbookViewId="0">
      <selection activeCell="N17" sqref="N17"/>
    </sheetView>
  </sheetViews>
  <sheetFormatPr defaultRowHeight="12.75" x14ac:dyDescent="0.2"/>
  <cols>
    <col min="1" max="1" width="9.28515625" bestFit="1" customWidth="1"/>
    <col min="2" max="2" width="10.140625" bestFit="1" customWidth="1"/>
    <col min="3" max="3" width="11.42578125" customWidth="1"/>
    <col min="4" max="4" width="15.42578125" style="7" bestFit="1" customWidth="1"/>
    <col min="5" max="5" width="11.7109375" style="2" bestFit="1" customWidth="1"/>
    <col min="6" max="6" width="11" bestFit="1" customWidth="1"/>
    <col min="7" max="7" width="9.140625" style="2"/>
    <col min="8" max="8" width="12.28515625" style="2" bestFit="1" customWidth="1"/>
    <col min="9" max="9" width="9.140625" style="2"/>
    <col min="10" max="10" width="17.28515625" bestFit="1" customWidth="1"/>
    <col min="11" max="11" width="23.28515625" style="5" bestFit="1" customWidth="1"/>
  </cols>
  <sheetData>
    <row r="1" spans="1:11" s="6" customFormat="1" x14ac:dyDescent="0.2">
      <c r="A1" s="6" t="s">
        <v>126</v>
      </c>
      <c r="B1" s="6" t="s">
        <v>127</v>
      </c>
      <c r="C1" s="6" t="s">
        <v>134</v>
      </c>
      <c r="D1" s="7" t="s">
        <v>149</v>
      </c>
      <c r="E1" s="4" t="s">
        <v>128</v>
      </c>
      <c r="F1" s="6" t="s">
        <v>132</v>
      </c>
      <c r="G1" s="4" t="s">
        <v>129</v>
      </c>
      <c r="H1" s="4" t="s">
        <v>130</v>
      </c>
      <c r="I1" s="4" t="s">
        <v>131</v>
      </c>
      <c r="J1" s="6" t="s">
        <v>133</v>
      </c>
      <c r="K1" s="4" t="s">
        <v>143</v>
      </c>
    </row>
    <row r="2" spans="1:11" x14ac:dyDescent="0.2">
      <c r="A2">
        <v>1</v>
      </c>
      <c r="B2" t="s">
        <v>9</v>
      </c>
      <c r="C2" t="s">
        <v>135</v>
      </c>
      <c r="D2" s="8">
        <v>45155</v>
      </c>
      <c r="E2" s="3">
        <v>0.61458333333333337</v>
      </c>
      <c r="F2" t="s">
        <v>12</v>
      </c>
      <c r="G2" s="2">
        <v>2121</v>
      </c>
      <c r="H2" s="2">
        <v>474</v>
      </c>
      <c r="I2" s="2">
        <v>628</v>
      </c>
      <c r="J2" t="s">
        <v>140</v>
      </c>
      <c r="K2" s="5">
        <f>IF(J2 = "Positive", 5, IF(J2 =  "Negative", 1, 3))</f>
        <v>5</v>
      </c>
    </row>
    <row r="3" spans="1:11" x14ac:dyDescent="0.2">
      <c r="A3">
        <v>2</v>
      </c>
      <c r="B3" t="s">
        <v>9</v>
      </c>
      <c r="C3" t="s">
        <v>136</v>
      </c>
      <c r="D3" s="8">
        <v>45060</v>
      </c>
      <c r="E3" s="3">
        <v>3.125E-2</v>
      </c>
      <c r="F3" t="s">
        <v>16</v>
      </c>
      <c r="G3" s="2">
        <v>3660</v>
      </c>
      <c r="H3" s="2">
        <v>432</v>
      </c>
      <c r="I3" s="2">
        <v>694</v>
      </c>
      <c r="J3" t="s">
        <v>141</v>
      </c>
      <c r="K3" s="5">
        <f>IF(J3 = "Positive", 5, IF(J3 =  "Negative", 1, 3))</f>
        <v>3</v>
      </c>
    </row>
    <row r="4" spans="1:11" x14ac:dyDescent="0.2">
      <c r="A4">
        <v>3</v>
      </c>
      <c r="B4" t="s">
        <v>18</v>
      </c>
      <c r="C4" t="s">
        <v>137</v>
      </c>
      <c r="D4" s="8">
        <v>44978</v>
      </c>
      <c r="E4" s="3">
        <v>0.67708333333333337</v>
      </c>
      <c r="F4" t="s">
        <v>21</v>
      </c>
      <c r="G4" s="2">
        <v>4955</v>
      </c>
      <c r="H4" s="2">
        <v>408</v>
      </c>
      <c r="I4" s="2">
        <v>688</v>
      </c>
      <c r="J4" t="s">
        <v>142</v>
      </c>
      <c r="K4" s="5">
        <f t="shared" ref="K4:K66" si="0">IF(J4 = "Positive", 5, IF(J4 =  "Negative", 1, 3))</f>
        <v>1</v>
      </c>
    </row>
    <row r="5" spans="1:11" x14ac:dyDescent="0.2">
      <c r="A5">
        <v>4</v>
      </c>
      <c r="B5" t="s">
        <v>23</v>
      </c>
      <c r="C5" t="s">
        <v>135</v>
      </c>
      <c r="D5" s="8">
        <v>45246</v>
      </c>
      <c r="E5" s="3">
        <v>3.125E-2</v>
      </c>
      <c r="F5" t="s">
        <v>12</v>
      </c>
      <c r="G5" s="2">
        <v>1183</v>
      </c>
      <c r="H5" s="2">
        <v>90</v>
      </c>
      <c r="I5" s="2">
        <v>187</v>
      </c>
      <c r="J5" t="s">
        <v>142</v>
      </c>
      <c r="K5" s="5">
        <f t="shared" si="0"/>
        <v>1</v>
      </c>
    </row>
    <row r="6" spans="1:11" x14ac:dyDescent="0.2">
      <c r="A6">
        <v>5</v>
      </c>
      <c r="B6" t="s">
        <v>23</v>
      </c>
      <c r="C6" t="s">
        <v>138</v>
      </c>
      <c r="D6" s="8">
        <v>45069</v>
      </c>
      <c r="E6" s="3">
        <v>2.0833333333333332E-2</v>
      </c>
      <c r="F6" t="s">
        <v>21</v>
      </c>
      <c r="G6" s="2">
        <v>3499</v>
      </c>
      <c r="H6" s="2">
        <v>247</v>
      </c>
      <c r="I6" s="2">
        <v>286</v>
      </c>
      <c r="J6" t="s">
        <v>140</v>
      </c>
      <c r="K6" s="5">
        <f t="shared" si="0"/>
        <v>5</v>
      </c>
    </row>
    <row r="7" spans="1:11" x14ac:dyDescent="0.2">
      <c r="A7">
        <v>6</v>
      </c>
      <c r="B7" t="s">
        <v>18</v>
      </c>
      <c r="C7" t="s">
        <v>136</v>
      </c>
      <c r="D7" s="8">
        <v>45051</v>
      </c>
      <c r="E7" s="3">
        <v>0.83333333333333337</v>
      </c>
      <c r="F7" t="s">
        <v>28</v>
      </c>
      <c r="G7" s="2">
        <v>256</v>
      </c>
      <c r="H7" s="2">
        <v>186</v>
      </c>
      <c r="I7" s="2">
        <v>211</v>
      </c>
      <c r="J7" t="s">
        <v>141</v>
      </c>
      <c r="K7" s="5">
        <f t="shared" si="0"/>
        <v>3</v>
      </c>
    </row>
    <row r="8" spans="1:11" x14ac:dyDescent="0.2">
      <c r="A8">
        <v>7</v>
      </c>
      <c r="B8" t="s">
        <v>18</v>
      </c>
      <c r="C8" t="s">
        <v>135</v>
      </c>
      <c r="D8" s="8">
        <v>44983</v>
      </c>
      <c r="E8" s="3">
        <v>0.48958333333333331</v>
      </c>
      <c r="F8" t="s">
        <v>16</v>
      </c>
      <c r="G8" s="2">
        <v>1982</v>
      </c>
      <c r="H8" s="2">
        <v>30</v>
      </c>
      <c r="I8" s="2">
        <v>906</v>
      </c>
      <c r="J8" t="s">
        <v>140</v>
      </c>
      <c r="K8" s="5">
        <f t="shared" si="0"/>
        <v>5</v>
      </c>
    </row>
    <row r="9" spans="1:11" x14ac:dyDescent="0.2">
      <c r="A9">
        <v>8</v>
      </c>
      <c r="B9" t="s">
        <v>18</v>
      </c>
      <c r="C9" t="s">
        <v>139</v>
      </c>
      <c r="D9" s="8">
        <v>45227</v>
      </c>
      <c r="E9" s="3">
        <v>0.8125</v>
      </c>
      <c r="F9" t="s">
        <v>32</v>
      </c>
      <c r="G9" s="2">
        <v>1274</v>
      </c>
      <c r="H9" s="2">
        <v>45</v>
      </c>
      <c r="I9" s="2">
        <v>216</v>
      </c>
      <c r="J9" t="s">
        <v>141</v>
      </c>
      <c r="K9" s="5">
        <f t="shared" si="0"/>
        <v>3</v>
      </c>
    </row>
    <row r="10" spans="1:11" x14ac:dyDescent="0.2">
      <c r="A10">
        <v>9</v>
      </c>
      <c r="B10" t="s">
        <v>9</v>
      </c>
      <c r="C10" t="s">
        <v>138</v>
      </c>
      <c r="D10" s="8">
        <v>45048</v>
      </c>
      <c r="E10" s="3">
        <v>0.26041666666666669</v>
      </c>
      <c r="F10" t="s">
        <v>21</v>
      </c>
      <c r="G10" s="2">
        <v>317</v>
      </c>
      <c r="H10" s="2">
        <v>249</v>
      </c>
      <c r="I10" s="2">
        <v>221</v>
      </c>
      <c r="J10" t="s">
        <v>141</v>
      </c>
      <c r="K10" s="5">
        <f t="shared" si="0"/>
        <v>3</v>
      </c>
    </row>
    <row r="11" spans="1:11" x14ac:dyDescent="0.2">
      <c r="A11">
        <v>10</v>
      </c>
      <c r="B11" t="s">
        <v>23</v>
      </c>
      <c r="C11" t="s">
        <v>136</v>
      </c>
      <c r="D11" s="8">
        <v>45057</v>
      </c>
      <c r="E11" s="3">
        <v>0.45833333333333331</v>
      </c>
      <c r="F11" t="s">
        <v>12</v>
      </c>
      <c r="G11" s="2">
        <v>1878</v>
      </c>
      <c r="H11" s="2">
        <v>225</v>
      </c>
      <c r="I11" s="2">
        <v>438</v>
      </c>
      <c r="J11" t="s">
        <v>141</v>
      </c>
      <c r="K11" s="5">
        <f t="shared" si="0"/>
        <v>3</v>
      </c>
    </row>
    <row r="12" spans="1:11" x14ac:dyDescent="0.2">
      <c r="A12">
        <v>11</v>
      </c>
      <c r="B12" t="s">
        <v>23</v>
      </c>
      <c r="C12" t="s">
        <v>139</v>
      </c>
      <c r="D12" s="8">
        <v>45268</v>
      </c>
      <c r="E12" s="3">
        <v>9.375E-2</v>
      </c>
      <c r="F12" t="s">
        <v>28</v>
      </c>
      <c r="G12" s="2">
        <v>1446</v>
      </c>
      <c r="H12" s="2">
        <v>44</v>
      </c>
      <c r="I12" s="2">
        <v>52</v>
      </c>
      <c r="J12" t="s">
        <v>142</v>
      </c>
      <c r="K12" s="5">
        <f t="shared" si="0"/>
        <v>1</v>
      </c>
    </row>
    <row r="13" spans="1:11" x14ac:dyDescent="0.2">
      <c r="A13">
        <v>12</v>
      </c>
      <c r="B13" t="s">
        <v>23</v>
      </c>
      <c r="C13" t="s">
        <v>138</v>
      </c>
      <c r="D13" s="8">
        <v>45092</v>
      </c>
      <c r="E13" s="3">
        <v>0.13541666666666666</v>
      </c>
      <c r="F13" t="s">
        <v>12</v>
      </c>
      <c r="G13" s="2">
        <v>304</v>
      </c>
      <c r="H13" s="2">
        <v>42</v>
      </c>
      <c r="I13" s="2">
        <v>89</v>
      </c>
      <c r="J13" t="s">
        <v>140</v>
      </c>
      <c r="K13" s="5">
        <f t="shared" si="0"/>
        <v>5</v>
      </c>
    </row>
    <row r="14" spans="1:11" x14ac:dyDescent="0.2">
      <c r="A14">
        <v>13</v>
      </c>
      <c r="B14" t="s">
        <v>9</v>
      </c>
      <c r="C14" t="s">
        <v>136</v>
      </c>
      <c r="D14" s="8">
        <v>45241</v>
      </c>
      <c r="E14" s="3">
        <v>0.65625</v>
      </c>
      <c r="F14" t="s">
        <v>32</v>
      </c>
      <c r="G14" s="2">
        <v>45</v>
      </c>
      <c r="H14" s="2">
        <v>78</v>
      </c>
      <c r="I14" s="2">
        <v>375</v>
      </c>
      <c r="J14" t="s">
        <v>142</v>
      </c>
      <c r="K14" s="5">
        <f t="shared" si="0"/>
        <v>1</v>
      </c>
    </row>
    <row r="15" spans="1:11" x14ac:dyDescent="0.2">
      <c r="A15">
        <v>14</v>
      </c>
      <c r="B15" t="s">
        <v>23</v>
      </c>
      <c r="C15" t="s">
        <v>139</v>
      </c>
      <c r="D15" s="8">
        <v>45199</v>
      </c>
      <c r="E15" s="3">
        <v>0.4375</v>
      </c>
      <c r="F15" t="s">
        <v>32</v>
      </c>
      <c r="G15" s="2">
        <v>1333</v>
      </c>
      <c r="H15" s="2">
        <v>144</v>
      </c>
      <c r="I15" s="2">
        <v>123</v>
      </c>
      <c r="J15" t="s">
        <v>140</v>
      </c>
      <c r="K15" s="5">
        <f t="shared" si="0"/>
        <v>5</v>
      </c>
    </row>
    <row r="16" spans="1:11" x14ac:dyDescent="0.2">
      <c r="A16">
        <v>15</v>
      </c>
      <c r="B16" t="s">
        <v>9</v>
      </c>
      <c r="C16" t="s">
        <v>136</v>
      </c>
      <c r="D16" s="8">
        <v>44935</v>
      </c>
      <c r="E16" s="3">
        <v>0.83333333333333337</v>
      </c>
      <c r="F16" t="s">
        <v>40</v>
      </c>
      <c r="G16" s="2">
        <v>889</v>
      </c>
      <c r="H16" s="2">
        <v>314</v>
      </c>
      <c r="I16" s="2">
        <v>262</v>
      </c>
      <c r="J16" t="s">
        <v>140</v>
      </c>
      <c r="K16" s="5">
        <f t="shared" si="0"/>
        <v>5</v>
      </c>
    </row>
    <row r="17" spans="1:11" x14ac:dyDescent="0.2">
      <c r="A17">
        <v>16</v>
      </c>
      <c r="B17" t="s">
        <v>23</v>
      </c>
      <c r="C17" t="s">
        <v>135</v>
      </c>
      <c r="D17" s="8">
        <v>44967</v>
      </c>
      <c r="E17" s="3">
        <v>0.54166666666666663</v>
      </c>
      <c r="F17" t="s">
        <v>28</v>
      </c>
      <c r="G17" s="2">
        <v>2348</v>
      </c>
      <c r="H17" s="2">
        <v>154</v>
      </c>
      <c r="I17" s="2">
        <v>18</v>
      </c>
      <c r="J17" t="s">
        <v>141</v>
      </c>
      <c r="K17" s="5">
        <f t="shared" si="0"/>
        <v>3</v>
      </c>
    </row>
    <row r="18" spans="1:11" x14ac:dyDescent="0.2">
      <c r="A18">
        <v>17</v>
      </c>
      <c r="B18" t="s">
        <v>18</v>
      </c>
      <c r="C18" t="s">
        <v>137</v>
      </c>
      <c r="D18" s="8">
        <v>45112</v>
      </c>
      <c r="E18" s="3">
        <v>0.21875</v>
      </c>
      <c r="F18" t="s">
        <v>43</v>
      </c>
      <c r="G18" s="2">
        <v>2872</v>
      </c>
      <c r="H18" s="2">
        <v>10</v>
      </c>
      <c r="I18" s="2">
        <v>736</v>
      </c>
      <c r="J18" t="s">
        <v>140</v>
      </c>
      <c r="K18" s="5">
        <f t="shared" si="0"/>
        <v>5</v>
      </c>
    </row>
    <row r="19" spans="1:11" x14ac:dyDescent="0.2">
      <c r="A19">
        <v>18</v>
      </c>
      <c r="B19" t="s">
        <v>23</v>
      </c>
      <c r="C19" t="s">
        <v>139</v>
      </c>
      <c r="D19" s="8">
        <v>45130</v>
      </c>
      <c r="E19" s="3">
        <v>0.23958333333333334</v>
      </c>
      <c r="F19" t="s">
        <v>16</v>
      </c>
      <c r="G19" s="2">
        <v>512</v>
      </c>
      <c r="H19" s="2">
        <v>123</v>
      </c>
      <c r="I19" s="2">
        <v>338</v>
      </c>
      <c r="J19" t="s">
        <v>141</v>
      </c>
      <c r="K19" s="5">
        <f t="shared" si="0"/>
        <v>3</v>
      </c>
    </row>
    <row r="20" spans="1:11" x14ac:dyDescent="0.2">
      <c r="A20">
        <v>19</v>
      </c>
      <c r="B20" t="s">
        <v>23</v>
      </c>
      <c r="C20" t="s">
        <v>139</v>
      </c>
      <c r="D20" s="8">
        <v>45250</v>
      </c>
      <c r="E20" s="3">
        <v>8.3333333333333329E-2</v>
      </c>
      <c r="F20" t="s">
        <v>40</v>
      </c>
      <c r="G20" s="2">
        <v>2013</v>
      </c>
      <c r="H20" s="2">
        <v>122</v>
      </c>
      <c r="I20" s="2">
        <v>183</v>
      </c>
      <c r="J20" t="s">
        <v>140</v>
      </c>
      <c r="K20" s="5">
        <f t="shared" si="0"/>
        <v>5</v>
      </c>
    </row>
    <row r="21" spans="1:11" x14ac:dyDescent="0.2">
      <c r="A21">
        <v>20</v>
      </c>
      <c r="B21" t="s">
        <v>9</v>
      </c>
      <c r="C21" t="s">
        <v>135</v>
      </c>
      <c r="D21" s="8">
        <v>44959</v>
      </c>
      <c r="E21" s="3">
        <v>0.66666666666666663</v>
      </c>
      <c r="F21" t="s">
        <v>12</v>
      </c>
      <c r="G21" s="2">
        <v>455</v>
      </c>
      <c r="H21" s="2">
        <v>86</v>
      </c>
      <c r="I21" s="2">
        <v>79</v>
      </c>
      <c r="J21" t="s">
        <v>140</v>
      </c>
      <c r="K21" s="5">
        <f t="shared" si="0"/>
        <v>5</v>
      </c>
    </row>
    <row r="22" spans="1:11" x14ac:dyDescent="0.2">
      <c r="A22">
        <v>21</v>
      </c>
      <c r="B22" t="s">
        <v>23</v>
      </c>
      <c r="C22" t="s">
        <v>137</v>
      </c>
      <c r="D22" s="8">
        <v>45048</v>
      </c>
      <c r="E22" s="3">
        <v>0.26041666666666669</v>
      </c>
      <c r="F22" t="s">
        <v>21</v>
      </c>
      <c r="G22" s="2">
        <v>559</v>
      </c>
      <c r="H22" s="2">
        <v>136</v>
      </c>
      <c r="I22" s="2">
        <v>55</v>
      </c>
      <c r="J22" t="s">
        <v>141</v>
      </c>
      <c r="K22" s="5">
        <f t="shared" si="0"/>
        <v>3</v>
      </c>
    </row>
    <row r="23" spans="1:11" x14ac:dyDescent="0.2">
      <c r="A23">
        <v>22</v>
      </c>
      <c r="B23" t="s">
        <v>23</v>
      </c>
      <c r="C23" t="s">
        <v>136</v>
      </c>
      <c r="D23" s="8">
        <v>44956</v>
      </c>
      <c r="E23" s="3">
        <v>0.5625</v>
      </c>
      <c r="F23" t="s">
        <v>40</v>
      </c>
      <c r="G23" s="2">
        <v>1961</v>
      </c>
      <c r="H23" s="2">
        <v>44</v>
      </c>
      <c r="I23" s="2">
        <v>439</v>
      </c>
      <c r="J23" t="s">
        <v>140</v>
      </c>
      <c r="K23" s="5">
        <f t="shared" si="0"/>
        <v>5</v>
      </c>
    </row>
    <row r="24" spans="1:11" x14ac:dyDescent="0.2">
      <c r="A24">
        <v>23</v>
      </c>
      <c r="B24" t="s">
        <v>23</v>
      </c>
      <c r="C24" t="s">
        <v>139</v>
      </c>
      <c r="D24" s="8">
        <v>45201</v>
      </c>
      <c r="E24" s="3">
        <v>0.51041666666666663</v>
      </c>
      <c r="F24" t="s">
        <v>40</v>
      </c>
      <c r="G24" s="2">
        <v>332</v>
      </c>
      <c r="H24" s="2">
        <v>109</v>
      </c>
      <c r="I24" s="2">
        <v>348</v>
      </c>
      <c r="J24" t="s">
        <v>140</v>
      </c>
      <c r="K24" s="5">
        <f t="shared" si="0"/>
        <v>5</v>
      </c>
    </row>
    <row r="25" spans="1:11" x14ac:dyDescent="0.2">
      <c r="A25">
        <v>24</v>
      </c>
      <c r="B25" t="s">
        <v>18</v>
      </c>
      <c r="C25" t="s">
        <v>136</v>
      </c>
      <c r="D25" s="8">
        <v>44927</v>
      </c>
      <c r="E25" s="3">
        <v>0.83333333333333337</v>
      </c>
      <c r="F25" t="s">
        <v>16</v>
      </c>
      <c r="G25" s="2">
        <v>5000</v>
      </c>
      <c r="H25" s="2">
        <v>80</v>
      </c>
      <c r="I25" s="2">
        <v>399</v>
      </c>
      <c r="J25" t="s">
        <v>140</v>
      </c>
      <c r="K25" s="5">
        <f t="shared" si="0"/>
        <v>5</v>
      </c>
    </row>
    <row r="26" spans="1:11" x14ac:dyDescent="0.2">
      <c r="A26">
        <v>25</v>
      </c>
      <c r="B26" t="s">
        <v>23</v>
      </c>
      <c r="C26" t="s">
        <v>137</v>
      </c>
      <c r="D26" s="8">
        <v>45063</v>
      </c>
      <c r="E26" s="3">
        <v>1.0416666666666666E-2</v>
      </c>
      <c r="F26" t="s">
        <v>43</v>
      </c>
      <c r="G26" s="2">
        <v>898</v>
      </c>
      <c r="H26" s="2">
        <v>130</v>
      </c>
      <c r="I26" s="2">
        <v>480</v>
      </c>
      <c r="J26" t="s">
        <v>140</v>
      </c>
      <c r="K26" s="5">
        <f t="shared" si="0"/>
        <v>5</v>
      </c>
    </row>
    <row r="27" spans="1:11" x14ac:dyDescent="0.2">
      <c r="A27">
        <v>26</v>
      </c>
      <c r="B27" t="s">
        <v>9</v>
      </c>
      <c r="C27" t="s">
        <v>136</v>
      </c>
      <c r="D27" s="8">
        <v>45204</v>
      </c>
      <c r="E27" s="3">
        <v>0.27083333333333331</v>
      </c>
      <c r="F27" t="s">
        <v>12</v>
      </c>
      <c r="G27" s="2">
        <v>1992</v>
      </c>
      <c r="H27" s="2">
        <v>70</v>
      </c>
      <c r="I27" s="2">
        <v>515</v>
      </c>
      <c r="J27" t="s">
        <v>142</v>
      </c>
      <c r="K27" s="5">
        <f t="shared" si="0"/>
        <v>1</v>
      </c>
    </row>
    <row r="28" spans="1:11" x14ac:dyDescent="0.2">
      <c r="A28">
        <v>27</v>
      </c>
      <c r="B28" t="s">
        <v>18</v>
      </c>
      <c r="C28" t="s">
        <v>139</v>
      </c>
      <c r="D28" s="8">
        <v>45205</v>
      </c>
      <c r="E28" s="3">
        <v>0.41666666666666669</v>
      </c>
      <c r="F28" t="s">
        <v>28</v>
      </c>
      <c r="G28" s="2">
        <v>3161</v>
      </c>
      <c r="H28" s="2">
        <v>162</v>
      </c>
      <c r="I28" s="2">
        <v>137</v>
      </c>
      <c r="J28" t="s">
        <v>140</v>
      </c>
      <c r="K28" s="5">
        <f t="shared" si="0"/>
        <v>5</v>
      </c>
    </row>
    <row r="29" spans="1:11" x14ac:dyDescent="0.2">
      <c r="A29">
        <v>28</v>
      </c>
      <c r="B29" t="s">
        <v>9</v>
      </c>
      <c r="C29" t="s">
        <v>137</v>
      </c>
      <c r="D29" s="8">
        <v>44986</v>
      </c>
      <c r="E29" s="3">
        <v>0.33333333333333331</v>
      </c>
      <c r="F29" t="s">
        <v>43</v>
      </c>
      <c r="G29" s="2">
        <v>2083</v>
      </c>
      <c r="H29" s="2">
        <v>500</v>
      </c>
      <c r="I29" s="2">
        <v>388</v>
      </c>
      <c r="J29" t="s">
        <v>141</v>
      </c>
      <c r="K29" s="5">
        <f t="shared" si="0"/>
        <v>3</v>
      </c>
    </row>
    <row r="30" spans="1:11" x14ac:dyDescent="0.2">
      <c r="A30">
        <v>29</v>
      </c>
      <c r="B30" t="s">
        <v>9</v>
      </c>
      <c r="C30" t="s">
        <v>135</v>
      </c>
      <c r="D30" s="8">
        <v>44933</v>
      </c>
      <c r="E30" s="3">
        <v>0.4375</v>
      </c>
      <c r="F30" t="s">
        <v>32</v>
      </c>
      <c r="G30" s="2">
        <v>548</v>
      </c>
      <c r="H30" s="2">
        <v>153</v>
      </c>
      <c r="I30" s="2">
        <v>731</v>
      </c>
      <c r="J30" t="s">
        <v>142</v>
      </c>
      <c r="K30" s="5">
        <f t="shared" si="0"/>
        <v>1</v>
      </c>
    </row>
    <row r="31" spans="1:11" x14ac:dyDescent="0.2">
      <c r="A31">
        <v>30</v>
      </c>
      <c r="B31" t="s">
        <v>9</v>
      </c>
      <c r="C31" t="s">
        <v>136</v>
      </c>
      <c r="D31" s="8">
        <v>44960</v>
      </c>
      <c r="E31" s="3">
        <v>2.0833333333333332E-2</v>
      </c>
      <c r="F31" t="s">
        <v>28</v>
      </c>
      <c r="G31" s="2">
        <v>4594</v>
      </c>
      <c r="H31" s="2">
        <v>216</v>
      </c>
      <c r="I31" s="2">
        <v>739</v>
      </c>
      <c r="J31" t="s">
        <v>140</v>
      </c>
      <c r="K31" s="5">
        <f t="shared" si="0"/>
        <v>5</v>
      </c>
    </row>
    <row r="32" spans="1:11" x14ac:dyDescent="0.2">
      <c r="A32">
        <v>31</v>
      </c>
      <c r="B32" t="s">
        <v>9</v>
      </c>
      <c r="C32" t="s">
        <v>137</v>
      </c>
      <c r="D32" s="8">
        <v>45179</v>
      </c>
      <c r="E32" s="3">
        <v>0.57291666666666663</v>
      </c>
      <c r="F32" t="s">
        <v>16</v>
      </c>
      <c r="G32" s="2">
        <v>4795</v>
      </c>
      <c r="H32" s="2">
        <v>449</v>
      </c>
      <c r="I32" s="2">
        <v>978</v>
      </c>
      <c r="J32" t="s">
        <v>142</v>
      </c>
      <c r="K32" s="5">
        <f t="shared" si="0"/>
        <v>1</v>
      </c>
    </row>
    <row r="33" spans="1:11" x14ac:dyDescent="0.2">
      <c r="A33">
        <v>32</v>
      </c>
      <c r="B33" t="s">
        <v>18</v>
      </c>
      <c r="C33" t="s">
        <v>135</v>
      </c>
      <c r="D33" s="8">
        <v>45108</v>
      </c>
      <c r="E33" s="3">
        <v>0.61458333333333337</v>
      </c>
      <c r="F33" t="s">
        <v>32</v>
      </c>
      <c r="G33" s="2">
        <v>4665</v>
      </c>
      <c r="H33" s="2">
        <v>202</v>
      </c>
      <c r="I33" s="2">
        <v>183</v>
      </c>
      <c r="J33" t="s">
        <v>140</v>
      </c>
      <c r="K33" s="5">
        <f t="shared" si="0"/>
        <v>5</v>
      </c>
    </row>
    <row r="34" spans="1:11" x14ac:dyDescent="0.2">
      <c r="A34">
        <v>33</v>
      </c>
      <c r="B34" t="s">
        <v>23</v>
      </c>
      <c r="C34" t="s">
        <v>138</v>
      </c>
      <c r="D34" s="8">
        <v>45196</v>
      </c>
      <c r="E34" s="3">
        <v>0.79166666666666663</v>
      </c>
      <c r="F34" t="s">
        <v>43</v>
      </c>
      <c r="G34" s="2">
        <v>119</v>
      </c>
      <c r="H34" s="2">
        <v>147</v>
      </c>
      <c r="I34" s="2">
        <v>240</v>
      </c>
      <c r="J34" t="s">
        <v>140</v>
      </c>
      <c r="K34" s="5">
        <f t="shared" si="0"/>
        <v>5</v>
      </c>
    </row>
    <row r="35" spans="1:11" x14ac:dyDescent="0.2">
      <c r="A35">
        <v>34</v>
      </c>
      <c r="B35" t="s">
        <v>23</v>
      </c>
      <c r="C35" t="s">
        <v>137</v>
      </c>
      <c r="D35" s="8">
        <v>44966</v>
      </c>
      <c r="E35" s="3">
        <v>0.64583333333333337</v>
      </c>
      <c r="F35" t="s">
        <v>12</v>
      </c>
      <c r="G35" s="2">
        <v>2253</v>
      </c>
      <c r="H35" s="2">
        <v>162</v>
      </c>
      <c r="I35" s="2">
        <v>28</v>
      </c>
      <c r="J35" t="s">
        <v>140</v>
      </c>
      <c r="K35" s="5">
        <f t="shared" si="0"/>
        <v>5</v>
      </c>
    </row>
    <row r="36" spans="1:11" x14ac:dyDescent="0.2">
      <c r="A36">
        <v>35</v>
      </c>
      <c r="B36" t="s">
        <v>18</v>
      </c>
      <c r="C36" t="s">
        <v>135</v>
      </c>
      <c r="D36" s="8">
        <v>45083</v>
      </c>
      <c r="E36" s="3">
        <v>0.8125</v>
      </c>
      <c r="F36" t="s">
        <v>21</v>
      </c>
      <c r="G36" s="2">
        <v>1309</v>
      </c>
      <c r="H36" s="2">
        <v>201</v>
      </c>
      <c r="I36" s="2">
        <v>852</v>
      </c>
      <c r="J36" t="s">
        <v>142</v>
      </c>
      <c r="K36" s="5">
        <f t="shared" si="0"/>
        <v>1</v>
      </c>
    </row>
    <row r="37" spans="1:11" x14ac:dyDescent="0.2">
      <c r="A37">
        <v>36</v>
      </c>
      <c r="B37" t="s">
        <v>9</v>
      </c>
      <c r="C37" t="s">
        <v>138</v>
      </c>
      <c r="D37" s="8">
        <v>45024</v>
      </c>
      <c r="E37" s="3">
        <v>0.80208333333333337</v>
      </c>
      <c r="F37" t="s">
        <v>32</v>
      </c>
      <c r="G37" s="2">
        <v>5000</v>
      </c>
      <c r="H37" s="2">
        <v>500</v>
      </c>
      <c r="I37" s="2">
        <v>43</v>
      </c>
      <c r="J37" t="s">
        <v>140</v>
      </c>
      <c r="K37" s="5">
        <f t="shared" si="0"/>
        <v>5</v>
      </c>
    </row>
    <row r="38" spans="1:11" x14ac:dyDescent="0.2">
      <c r="A38">
        <v>37</v>
      </c>
      <c r="B38" t="s">
        <v>9</v>
      </c>
      <c r="C38" t="s">
        <v>138</v>
      </c>
      <c r="D38" s="8">
        <v>45057</v>
      </c>
      <c r="E38" s="3">
        <v>2.0833333333333332E-2</v>
      </c>
      <c r="F38" t="s">
        <v>12</v>
      </c>
      <c r="G38" s="2">
        <v>4245</v>
      </c>
      <c r="H38" s="2">
        <v>59</v>
      </c>
      <c r="I38" s="2">
        <v>83</v>
      </c>
      <c r="J38" t="s">
        <v>141</v>
      </c>
      <c r="K38" s="5">
        <f t="shared" si="0"/>
        <v>3</v>
      </c>
    </row>
    <row r="39" spans="1:11" x14ac:dyDescent="0.2">
      <c r="A39">
        <v>38</v>
      </c>
      <c r="B39" t="s">
        <v>23</v>
      </c>
      <c r="C39" t="s">
        <v>137</v>
      </c>
      <c r="D39" s="8">
        <v>45048</v>
      </c>
      <c r="E39" s="3">
        <v>2.0833333333333332E-2</v>
      </c>
      <c r="F39" t="s">
        <v>21</v>
      </c>
      <c r="G39" s="2">
        <v>2463</v>
      </c>
      <c r="H39" s="2">
        <v>187</v>
      </c>
      <c r="I39" s="2">
        <v>445</v>
      </c>
      <c r="J39" t="s">
        <v>140</v>
      </c>
      <c r="K39" s="5">
        <f t="shared" si="0"/>
        <v>5</v>
      </c>
    </row>
    <row r="40" spans="1:11" x14ac:dyDescent="0.2">
      <c r="A40">
        <v>39</v>
      </c>
      <c r="B40" t="s">
        <v>9</v>
      </c>
      <c r="C40" t="s">
        <v>138</v>
      </c>
      <c r="D40" s="8">
        <v>44927</v>
      </c>
      <c r="E40" s="3">
        <v>0.25</v>
      </c>
      <c r="F40" t="s">
        <v>16</v>
      </c>
      <c r="G40" s="2">
        <v>5000</v>
      </c>
      <c r="H40" s="2">
        <v>430</v>
      </c>
      <c r="I40" s="2">
        <v>980</v>
      </c>
      <c r="J40" t="s">
        <v>141</v>
      </c>
      <c r="K40" s="5">
        <f t="shared" si="0"/>
        <v>3</v>
      </c>
    </row>
    <row r="41" spans="1:11" x14ac:dyDescent="0.2">
      <c r="A41">
        <v>40</v>
      </c>
      <c r="B41" t="s">
        <v>18</v>
      </c>
      <c r="C41" t="s">
        <v>136</v>
      </c>
      <c r="D41" s="8">
        <v>45142</v>
      </c>
      <c r="E41" s="3">
        <v>0.53125</v>
      </c>
      <c r="F41" t="s">
        <v>28</v>
      </c>
      <c r="G41" s="2">
        <v>447</v>
      </c>
      <c r="H41" s="2">
        <v>333</v>
      </c>
      <c r="I41" s="2">
        <v>845</v>
      </c>
      <c r="J41" t="s">
        <v>142</v>
      </c>
      <c r="K41" s="5">
        <f t="shared" si="0"/>
        <v>1</v>
      </c>
    </row>
    <row r="42" spans="1:11" x14ac:dyDescent="0.2">
      <c r="A42">
        <v>41</v>
      </c>
      <c r="B42" t="s">
        <v>23</v>
      </c>
      <c r="C42" t="s">
        <v>136</v>
      </c>
      <c r="D42" s="8">
        <v>45287</v>
      </c>
      <c r="E42" s="3">
        <v>0.47916666666666669</v>
      </c>
      <c r="F42" t="s">
        <v>43</v>
      </c>
      <c r="G42" s="2">
        <v>667</v>
      </c>
      <c r="H42" s="2">
        <v>176</v>
      </c>
      <c r="I42" s="2">
        <v>461</v>
      </c>
      <c r="J42" t="s">
        <v>140</v>
      </c>
      <c r="K42" s="5">
        <f t="shared" si="0"/>
        <v>5</v>
      </c>
    </row>
    <row r="43" spans="1:11" x14ac:dyDescent="0.2">
      <c r="A43">
        <v>42</v>
      </c>
      <c r="B43" t="s">
        <v>18</v>
      </c>
      <c r="C43" t="s">
        <v>138</v>
      </c>
      <c r="D43" s="8">
        <v>45253</v>
      </c>
      <c r="E43" s="3">
        <v>8.3333333333333329E-2</v>
      </c>
      <c r="F43" t="s">
        <v>12</v>
      </c>
      <c r="G43" s="2">
        <v>4929</v>
      </c>
      <c r="H43" s="2">
        <v>252</v>
      </c>
      <c r="I43" s="2">
        <v>730</v>
      </c>
      <c r="J43" t="s">
        <v>142</v>
      </c>
      <c r="K43" s="5">
        <f t="shared" si="0"/>
        <v>1</v>
      </c>
    </row>
    <row r="44" spans="1:11" x14ac:dyDescent="0.2">
      <c r="A44">
        <v>43</v>
      </c>
      <c r="B44" t="s">
        <v>23</v>
      </c>
      <c r="C44" t="s">
        <v>136</v>
      </c>
      <c r="D44" s="8">
        <v>45016</v>
      </c>
      <c r="E44" s="3">
        <v>0.66666666666666663</v>
      </c>
      <c r="F44" t="s">
        <v>28</v>
      </c>
      <c r="G44" s="2">
        <v>2586</v>
      </c>
      <c r="H44" s="2">
        <v>97</v>
      </c>
      <c r="I44" s="2">
        <v>85</v>
      </c>
      <c r="J44" t="s">
        <v>140</v>
      </c>
      <c r="K44" s="5">
        <f t="shared" si="0"/>
        <v>5</v>
      </c>
    </row>
    <row r="45" spans="1:11" x14ac:dyDescent="0.2">
      <c r="A45">
        <v>44</v>
      </c>
      <c r="B45" t="s">
        <v>18</v>
      </c>
      <c r="C45" t="s">
        <v>139</v>
      </c>
      <c r="D45" s="8">
        <v>45113</v>
      </c>
      <c r="E45" s="3">
        <v>0.33333333333333331</v>
      </c>
      <c r="F45" t="s">
        <v>12</v>
      </c>
      <c r="G45" s="2">
        <v>3259</v>
      </c>
      <c r="H45" s="2">
        <v>50</v>
      </c>
      <c r="I45" s="2">
        <v>177</v>
      </c>
      <c r="J45" t="s">
        <v>142</v>
      </c>
      <c r="K45" s="5">
        <f t="shared" si="0"/>
        <v>1</v>
      </c>
    </row>
    <row r="46" spans="1:11" x14ac:dyDescent="0.2">
      <c r="A46">
        <v>45</v>
      </c>
      <c r="B46" t="s">
        <v>23</v>
      </c>
      <c r="C46" t="s">
        <v>138</v>
      </c>
      <c r="D46" s="8">
        <v>45261</v>
      </c>
      <c r="E46" s="3">
        <v>0.41666666666666669</v>
      </c>
      <c r="F46" t="s">
        <v>28</v>
      </c>
      <c r="G46" s="2">
        <v>2236</v>
      </c>
      <c r="H46" s="2">
        <v>132</v>
      </c>
      <c r="I46" s="2">
        <v>118</v>
      </c>
      <c r="J46" t="s">
        <v>140</v>
      </c>
      <c r="K46" s="5">
        <f t="shared" si="0"/>
        <v>5</v>
      </c>
    </row>
    <row r="47" spans="1:11" x14ac:dyDescent="0.2">
      <c r="A47">
        <v>46</v>
      </c>
      <c r="B47" t="s">
        <v>18</v>
      </c>
      <c r="C47" t="s">
        <v>139</v>
      </c>
      <c r="D47" s="8">
        <v>45062</v>
      </c>
      <c r="E47" s="3">
        <v>0.92708333333333337</v>
      </c>
      <c r="F47" t="s">
        <v>21</v>
      </c>
      <c r="G47" s="2">
        <v>2251</v>
      </c>
      <c r="H47" s="2">
        <v>380</v>
      </c>
      <c r="I47" s="2">
        <v>427</v>
      </c>
      <c r="J47" t="s">
        <v>140</v>
      </c>
      <c r="K47" s="5">
        <f t="shared" si="0"/>
        <v>5</v>
      </c>
    </row>
    <row r="48" spans="1:11" x14ac:dyDescent="0.2">
      <c r="A48">
        <v>47</v>
      </c>
      <c r="B48" t="s">
        <v>9</v>
      </c>
      <c r="C48" t="s">
        <v>137</v>
      </c>
      <c r="D48" s="8">
        <v>45146</v>
      </c>
      <c r="E48" s="3">
        <v>0.73958333333333337</v>
      </c>
      <c r="F48" t="s">
        <v>21</v>
      </c>
      <c r="G48" s="2">
        <v>4726</v>
      </c>
      <c r="H48" s="2">
        <v>44</v>
      </c>
      <c r="I48" s="2">
        <v>993</v>
      </c>
      <c r="J48" t="s">
        <v>142</v>
      </c>
      <c r="K48" s="5">
        <f t="shared" si="0"/>
        <v>1</v>
      </c>
    </row>
    <row r="49" spans="1:11" x14ac:dyDescent="0.2">
      <c r="A49">
        <v>48</v>
      </c>
      <c r="B49" t="s">
        <v>9</v>
      </c>
      <c r="C49" t="s">
        <v>138</v>
      </c>
      <c r="D49" s="8">
        <v>45007</v>
      </c>
      <c r="E49" s="3">
        <v>0.13541666666666666</v>
      </c>
      <c r="F49" t="s">
        <v>43</v>
      </c>
      <c r="G49" s="2">
        <v>5000</v>
      </c>
      <c r="H49" s="2">
        <v>232</v>
      </c>
      <c r="I49" s="2">
        <v>16</v>
      </c>
      <c r="J49" t="s">
        <v>142</v>
      </c>
      <c r="K49" s="5">
        <f t="shared" si="0"/>
        <v>1</v>
      </c>
    </row>
    <row r="50" spans="1:11" x14ac:dyDescent="0.2">
      <c r="A50">
        <v>49</v>
      </c>
      <c r="B50" t="s">
        <v>23</v>
      </c>
      <c r="C50" t="s">
        <v>135</v>
      </c>
      <c r="D50" s="8">
        <v>45033</v>
      </c>
      <c r="E50" s="3">
        <v>0.625</v>
      </c>
      <c r="F50" t="s">
        <v>40</v>
      </c>
      <c r="G50" s="2">
        <v>725</v>
      </c>
      <c r="H50" s="2">
        <v>169</v>
      </c>
      <c r="I50" s="2">
        <v>298</v>
      </c>
      <c r="J50" t="s">
        <v>141</v>
      </c>
      <c r="K50" s="5">
        <f t="shared" si="0"/>
        <v>3</v>
      </c>
    </row>
    <row r="51" spans="1:11" x14ac:dyDescent="0.2">
      <c r="A51">
        <v>50</v>
      </c>
      <c r="B51" t="s">
        <v>18</v>
      </c>
      <c r="C51" t="s">
        <v>139</v>
      </c>
      <c r="D51" s="8">
        <v>45119</v>
      </c>
      <c r="E51" s="3">
        <v>0</v>
      </c>
      <c r="F51" t="s">
        <v>43</v>
      </c>
      <c r="G51" s="2">
        <v>1551</v>
      </c>
      <c r="H51" s="2">
        <v>206</v>
      </c>
      <c r="I51" s="2">
        <v>127</v>
      </c>
      <c r="J51" t="s">
        <v>142</v>
      </c>
      <c r="K51" s="5">
        <f t="shared" si="0"/>
        <v>1</v>
      </c>
    </row>
    <row r="52" spans="1:11" x14ac:dyDescent="0.2">
      <c r="A52">
        <v>51</v>
      </c>
      <c r="B52" t="s">
        <v>23</v>
      </c>
      <c r="C52" t="s">
        <v>139</v>
      </c>
      <c r="D52" s="8">
        <v>44971</v>
      </c>
      <c r="E52" s="3">
        <v>0.75</v>
      </c>
      <c r="F52" t="s">
        <v>21</v>
      </c>
      <c r="G52" s="2">
        <v>1268</v>
      </c>
      <c r="H52" s="2">
        <v>73</v>
      </c>
      <c r="I52" s="2">
        <v>251</v>
      </c>
      <c r="J52" t="s">
        <v>140</v>
      </c>
      <c r="K52" s="5">
        <f t="shared" si="0"/>
        <v>5</v>
      </c>
    </row>
    <row r="53" spans="1:11" x14ac:dyDescent="0.2">
      <c r="A53">
        <v>52</v>
      </c>
      <c r="B53" t="s">
        <v>23</v>
      </c>
      <c r="C53" t="s">
        <v>135</v>
      </c>
      <c r="D53" s="8">
        <v>45121</v>
      </c>
      <c r="E53" s="3">
        <v>0.625</v>
      </c>
      <c r="F53" t="s">
        <v>28</v>
      </c>
      <c r="G53" s="2">
        <v>950</v>
      </c>
      <c r="H53" s="2">
        <v>113</v>
      </c>
      <c r="I53" s="2">
        <v>327</v>
      </c>
      <c r="J53" t="s">
        <v>140</v>
      </c>
      <c r="K53" s="5">
        <f t="shared" si="0"/>
        <v>5</v>
      </c>
    </row>
    <row r="54" spans="1:11" x14ac:dyDescent="0.2">
      <c r="A54">
        <v>53</v>
      </c>
      <c r="B54" t="s">
        <v>23</v>
      </c>
      <c r="C54" t="s">
        <v>138</v>
      </c>
      <c r="D54" s="8">
        <v>45242</v>
      </c>
      <c r="E54" s="3">
        <v>0.72916666666666663</v>
      </c>
      <c r="F54" t="s">
        <v>16</v>
      </c>
      <c r="G54" s="2">
        <v>1498</v>
      </c>
      <c r="H54" s="2">
        <v>46</v>
      </c>
      <c r="I54" s="2">
        <v>96</v>
      </c>
      <c r="J54" t="s">
        <v>140</v>
      </c>
      <c r="K54" s="5">
        <f t="shared" si="0"/>
        <v>5</v>
      </c>
    </row>
    <row r="55" spans="1:11" x14ac:dyDescent="0.2">
      <c r="A55">
        <v>54</v>
      </c>
      <c r="B55" t="s">
        <v>18</v>
      </c>
      <c r="C55" t="s">
        <v>135</v>
      </c>
      <c r="D55" s="8">
        <v>44947</v>
      </c>
      <c r="E55" s="3">
        <v>4.1666666666666664E-2</v>
      </c>
      <c r="F55" t="s">
        <v>32</v>
      </c>
      <c r="G55" s="2">
        <v>4297</v>
      </c>
      <c r="H55" s="2">
        <v>360</v>
      </c>
      <c r="I55" s="2">
        <v>825</v>
      </c>
      <c r="J55" t="s">
        <v>142</v>
      </c>
      <c r="K55" s="5">
        <f t="shared" si="0"/>
        <v>1</v>
      </c>
    </row>
    <row r="56" spans="1:11" x14ac:dyDescent="0.2">
      <c r="A56">
        <v>55</v>
      </c>
      <c r="B56" t="s">
        <v>23</v>
      </c>
      <c r="C56" t="s">
        <v>136</v>
      </c>
      <c r="D56" s="8">
        <v>45201</v>
      </c>
      <c r="E56" s="3">
        <v>0.97916666666666663</v>
      </c>
      <c r="F56" t="s">
        <v>40</v>
      </c>
      <c r="G56" s="2">
        <v>592</v>
      </c>
      <c r="H56" s="2">
        <v>34</v>
      </c>
      <c r="I56" s="2">
        <v>496</v>
      </c>
      <c r="J56" t="s">
        <v>141</v>
      </c>
      <c r="K56" s="5">
        <f t="shared" si="0"/>
        <v>3</v>
      </c>
    </row>
    <row r="57" spans="1:11" x14ac:dyDescent="0.2">
      <c r="A57">
        <v>56</v>
      </c>
      <c r="B57" t="s">
        <v>18</v>
      </c>
      <c r="C57" t="s">
        <v>135</v>
      </c>
      <c r="D57" s="8">
        <v>44998</v>
      </c>
      <c r="E57" s="3">
        <v>0.96875</v>
      </c>
      <c r="F57" t="s">
        <v>40</v>
      </c>
      <c r="G57" s="2">
        <v>3401</v>
      </c>
      <c r="H57" s="2">
        <v>190</v>
      </c>
      <c r="I57" s="2">
        <v>230</v>
      </c>
      <c r="J57" t="s">
        <v>142</v>
      </c>
      <c r="K57" s="5">
        <f t="shared" si="0"/>
        <v>1</v>
      </c>
    </row>
    <row r="58" spans="1:11" x14ac:dyDescent="0.2">
      <c r="A58">
        <v>57</v>
      </c>
      <c r="B58" t="s">
        <v>18</v>
      </c>
      <c r="C58" t="s">
        <v>138</v>
      </c>
      <c r="D58" s="8">
        <v>45120</v>
      </c>
      <c r="E58" s="3">
        <v>0.38541666666666669</v>
      </c>
      <c r="F58" t="s">
        <v>12</v>
      </c>
      <c r="G58" s="2">
        <v>4846</v>
      </c>
      <c r="H58" s="2">
        <v>134</v>
      </c>
      <c r="I58" s="2">
        <v>498</v>
      </c>
      <c r="J58" t="s">
        <v>141</v>
      </c>
      <c r="K58" s="5">
        <f t="shared" si="0"/>
        <v>3</v>
      </c>
    </row>
    <row r="59" spans="1:11" x14ac:dyDescent="0.2">
      <c r="A59">
        <v>58</v>
      </c>
      <c r="B59" t="s">
        <v>9</v>
      </c>
      <c r="C59" t="s">
        <v>138</v>
      </c>
      <c r="D59" s="8">
        <v>45287</v>
      </c>
      <c r="E59" s="3">
        <v>0.16666666666666666</v>
      </c>
      <c r="F59" t="s">
        <v>43</v>
      </c>
      <c r="G59" s="2">
        <v>2204</v>
      </c>
      <c r="H59" s="2">
        <v>116</v>
      </c>
      <c r="I59" s="2">
        <v>728</v>
      </c>
      <c r="J59" t="s">
        <v>141</v>
      </c>
      <c r="K59" s="5">
        <f t="shared" si="0"/>
        <v>3</v>
      </c>
    </row>
    <row r="60" spans="1:11" x14ac:dyDescent="0.2">
      <c r="A60">
        <v>59</v>
      </c>
      <c r="B60" t="s">
        <v>23</v>
      </c>
      <c r="C60" t="s">
        <v>138</v>
      </c>
      <c r="D60" s="8">
        <v>45284</v>
      </c>
      <c r="E60" s="3">
        <v>0.32291666666666669</v>
      </c>
      <c r="F60" t="s">
        <v>16</v>
      </c>
      <c r="G60" s="2">
        <v>344</v>
      </c>
      <c r="H60" s="2">
        <v>99</v>
      </c>
      <c r="I60" s="2">
        <v>194</v>
      </c>
      <c r="J60" t="s">
        <v>141</v>
      </c>
      <c r="K60" s="5">
        <f t="shared" si="0"/>
        <v>3</v>
      </c>
    </row>
    <row r="61" spans="1:11" x14ac:dyDescent="0.2">
      <c r="A61">
        <v>60</v>
      </c>
      <c r="B61" t="s">
        <v>18</v>
      </c>
      <c r="C61" t="s">
        <v>136</v>
      </c>
      <c r="D61" s="8">
        <v>45065</v>
      </c>
      <c r="E61" s="3">
        <v>0.1875</v>
      </c>
      <c r="F61" t="s">
        <v>28</v>
      </c>
      <c r="G61" s="2">
        <v>4763</v>
      </c>
      <c r="H61" s="2">
        <v>332</v>
      </c>
      <c r="I61" s="2">
        <v>956</v>
      </c>
      <c r="J61" t="s">
        <v>140</v>
      </c>
      <c r="K61" s="5">
        <f t="shared" si="0"/>
        <v>5</v>
      </c>
    </row>
    <row r="62" spans="1:11" x14ac:dyDescent="0.2">
      <c r="A62">
        <v>61</v>
      </c>
      <c r="B62" t="s">
        <v>18</v>
      </c>
      <c r="C62" t="s">
        <v>138</v>
      </c>
      <c r="D62" s="8">
        <v>45291</v>
      </c>
      <c r="E62" s="3">
        <v>0.9375</v>
      </c>
      <c r="F62" t="s">
        <v>16</v>
      </c>
      <c r="G62" s="2">
        <v>3544</v>
      </c>
      <c r="H62" s="2">
        <v>167</v>
      </c>
      <c r="I62" s="2">
        <v>761</v>
      </c>
      <c r="J62" t="s">
        <v>142</v>
      </c>
      <c r="K62" s="5">
        <f t="shared" si="0"/>
        <v>1</v>
      </c>
    </row>
    <row r="63" spans="1:11" x14ac:dyDescent="0.2">
      <c r="A63">
        <v>62</v>
      </c>
      <c r="B63" t="s">
        <v>9</v>
      </c>
      <c r="C63" t="s">
        <v>136</v>
      </c>
      <c r="D63" s="8">
        <v>44953</v>
      </c>
      <c r="E63" s="3">
        <v>0.65625</v>
      </c>
      <c r="F63" t="s">
        <v>28</v>
      </c>
      <c r="G63" s="2">
        <v>3742</v>
      </c>
      <c r="H63" s="2">
        <v>227</v>
      </c>
      <c r="I63" s="2">
        <v>849</v>
      </c>
      <c r="J63" t="s">
        <v>142</v>
      </c>
      <c r="K63" s="5">
        <f t="shared" si="0"/>
        <v>1</v>
      </c>
    </row>
    <row r="64" spans="1:11" x14ac:dyDescent="0.2">
      <c r="A64">
        <v>63</v>
      </c>
      <c r="B64" t="s">
        <v>23</v>
      </c>
      <c r="C64" t="s">
        <v>135</v>
      </c>
      <c r="D64" s="8">
        <v>45061</v>
      </c>
      <c r="E64" s="3">
        <v>0.27083333333333331</v>
      </c>
      <c r="F64" t="s">
        <v>40</v>
      </c>
      <c r="G64" s="2">
        <v>227</v>
      </c>
      <c r="H64" s="2">
        <v>163</v>
      </c>
      <c r="I64" s="2">
        <v>127</v>
      </c>
      <c r="J64" t="s">
        <v>141</v>
      </c>
      <c r="K64" s="5">
        <f t="shared" si="0"/>
        <v>3</v>
      </c>
    </row>
    <row r="65" spans="1:11" x14ac:dyDescent="0.2">
      <c r="A65">
        <v>64</v>
      </c>
      <c r="B65" t="s">
        <v>18</v>
      </c>
      <c r="C65" t="s">
        <v>136</v>
      </c>
      <c r="D65" s="8">
        <v>45035</v>
      </c>
      <c r="E65" s="3">
        <v>0.82291666666666663</v>
      </c>
      <c r="F65" t="s">
        <v>43</v>
      </c>
      <c r="G65" s="2">
        <v>130</v>
      </c>
      <c r="H65" s="2">
        <v>452</v>
      </c>
      <c r="I65" s="2">
        <v>724</v>
      </c>
      <c r="J65" t="s">
        <v>141</v>
      </c>
      <c r="K65" s="5">
        <f t="shared" si="0"/>
        <v>3</v>
      </c>
    </row>
    <row r="66" spans="1:11" x14ac:dyDescent="0.2">
      <c r="A66">
        <v>65</v>
      </c>
      <c r="B66" t="s">
        <v>18</v>
      </c>
      <c r="C66" t="s">
        <v>135</v>
      </c>
      <c r="D66" s="8">
        <v>45189</v>
      </c>
      <c r="E66" s="3">
        <v>0.25</v>
      </c>
      <c r="F66" t="s">
        <v>43</v>
      </c>
      <c r="G66" s="2">
        <v>3982</v>
      </c>
      <c r="H66" s="2">
        <v>314</v>
      </c>
      <c r="I66" s="2">
        <v>326</v>
      </c>
      <c r="J66" t="s">
        <v>140</v>
      </c>
      <c r="K66" s="5">
        <f t="shared" si="0"/>
        <v>5</v>
      </c>
    </row>
    <row r="67" spans="1:11" x14ac:dyDescent="0.2">
      <c r="A67">
        <v>66</v>
      </c>
      <c r="B67" t="s">
        <v>9</v>
      </c>
      <c r="C67" t="s">
        <v>139</v>
      </c>
      <c r="D67" s="8">
        <v>44929</v>
      </c>
      <c r="E67" s="3">
        <v>0.125</v>
      </c>
      <c r="F67" t="s">
        <v>21</v>
      </c>
      <c r="G67" s="2">
        <v>2265</v>
      </c>
      <c r="H67" s="2">
        <v>39</v>
      </c>
      <c r="I67" s="2">
        <v>318</v>
      </c>
      <c r="J67" t="s">
        <v>140</v>
      </c>
      <c r="K67" s="5">
        <f t="shared" ref="K67:K101" si="1">IF(J67 = "Positive", 5, IF(J67 =  "Negative", 1, 3))</f>
        <v>5</v>
      </c>
    </row>
    <row r="68" spans="1:11" x14ac:dyDescent="0.2">
      <c r="A68">
        <v>67</v>
      </c>
      <c r="B68" t="s">
        <v>9</v>
      </c>
      <c r="C68" t="s">
        <v>136</v>
      </c>
      <c r="D68" s="8">
        <v>45039</v>
      </c>
      <c r="E68" s="3">
        <v>0.34375</v>
      </c>
      <c r="F68" t="s">
        <v>16</v>
      </c>
      <c r="G68" s="2">
        <v>2026</v>
      </c>
      <c r="H68" s="2">
        <v>390</v>
      </c>
      <c r="I68" s="2">
        <v>165</v>
      </c>
      <c r="J68" t="s">
        <v>142</v>
      </c>
      <c r="K68" s="5">
        <f t="shared" si="1"/>
        <v>1</v>
      </c>
    </row>
    <row r="69" spans="1:11" x14ac:dyDescent="0.2">
      <c r="A69">
        <v>68</v>
      </c>
      <c r="B69" t="s">
        <v>18</v>
      </c>
      <c r="C69" t="s">
        <v>138</v>
      </c>
      <c r="D69" s="8">
        <v>45288</v>
      </c>
      <c r="E69" s="3">
        <v>0.69791666666666663</v>
      </c>
      <c r="F69" t="s">
        <v>12</v>
      </c>
      <c r="G69" s="2">
        <v>560</v>
      </c>
      <c r="H69" s="2">
        <v>486</v>
      </c>
      <c r="I69" s="2">
        <v>677</v>
      </c>
      <c r="J69" t="s">
        <v>142</v>
      </c>
      <c r="K69" s="5">
        <f t="shared" si="1"/>
        <v>1</v>
      </c>
    </row>
    <row r="70" spans="1:11" x14ac:dyDescent="0.2">
      <c r="A70">
        <v>69</v>
      </c>
      <c r="B70" t="s">
        <v>23</v>
      </c>
      <c r="C70" t="s">
        <v>135</v>
      </c>
      <c r="D70" s="8">
        <v>45213</v>
      </c>
      <c r="E70" s="3">
        <v>0.78125</v>
      </c>
      <c r="F70" t="s">
        <v>32</v>
      </c>
      <c r="G70" s="2">
        <v>187</v>
      </c>
      <c r="H70" s="2">
        <v>89</v>
      </c>
      <c r="I70" s="2">
        <v>284</v>
      </c>
      <c r="J70" t="s">
        <v>141</v>
      </c>
      <c r="K70" s="5">
        <f t="shared" si="1"/>
        <v>3</v>
      </c>
    </row>
    <row r="71" spans="1:11" x14ac:dyDescent="0.2">
      <c r="A71">
        <v>70</v>
      </c>
      <c r="B71" t="s">
        <v>9</v>
      </c>
      <c r="C71" t="s">
        <v>139</v>
      </c>
      <c r="D71" s="8">
        <v>45089</v>
      </c>
      <c r="E71" s="3">
        <v>0.39583333333333331</v>
      </c>
      <c r="F71" t="s">
        <v>40</v>
      </c>
      <c r="G71" s="2">
        <v>3094</v>
      </c>
      <c r="H71" s="2">
        <v>86</v>
      </c>
      <c r="I71" s="2">
        <v>965</v>
      </c>
      <c r="J71" t="s">
        <v>142</v>
      </c>
      <c r="K71" s="5">
        <f t="shared" si="1"/>
        <v>1</v>
      </c>
    </row>
    <row r="72" spans="1:11" x14ac:dyDescent="0.2">
      <c r="A72">
        <v>71</v>
      </c>
      <c r="B72" t="s">
        <v>18</v>
      </c>
      <c r="C72" t="s">
        <v>138</v>
      </c>
      <c r="D72" s="8">
        <v>45026</v>
      </c>
      <c r="E72" s="3">
        <v>0</v>
      </c>
      <c r="F72" t="s">
        <v>40</v>
      </c>
      <c r="G72" s="2">
        <v>3398</v>
      </c>
      <c r="H72" s="2">
        <v>261</v>
      </c>
      <c r="I72" s="2">
        <v>630</v>
      </c>
      <c r="J72" t="s">
        <v>141</v>
      </c>
      <c r="K72" s="5">
        <f t="shared" si="1"/>
        <v>3</v>
      </c>
    </row>
    <row r="73" spans="1:11" x14ac:dyDescent="0.2">
      <c r="A73">
        <v>72</v>
      </c>
      <c r="B73" t="s">
        <v>9</v>
      </c>
      <c r="C73" t="s">
        <v>136</v>
      </c>
      <c r="D73" s="8">
        <v>45051</v>
      </c>
      <c r="E73" s="3">
        <v>0.69791666666666663</v>
      </c>
      <c r="F73" t="s">
        <v>28</v>
      </c>
      <c r="G73" s="2">
        <v>1690</v>
      </c>
      <c r="H73" s="2">
        <v>257</v>
      </c>
      <c r="I73" s="2">
        <v>656</v>
      </c>
      <c r="J73" t="s">
        <v>141</v>
      </c>
      <c r="K73" s="5">
        <f t="shared" si="1"/>
        <v>3</v>
      </c>
    </row>
    <row r="74" spans="1:11" x14ac:dyDescent="0.2">
      <c r="A74">
        <v>73</v>
      </c>
      <c r="B74" t="s">
        <v>9</v>
      </c>
      <c r="C74" t="s">
        <v>139</v>
      </c>
      <c r="D74" s="8">
        <v>45125</v>
      </c>
      <c r="E74" s="3">
        <v>0.91666666666666663</v>
      </c>
      <c r="F74" t="s">
        <v>21</v>
      </c>
      <c r="G74" s="2">
        <v>3026</v>
      </c>
      <c r="H74" s="2">
        <v>11</v>
      </c>
      <c r="I74" s="2">
        <v>761</v>
      </c>
      <c r="J74" t="s">
        <v>140</v>
      </c>
      <c r="K74" s="5">
        <f t="shared" si="1"/>
        <v>5</v>
      </c>
    </row>
    <row r="75" spans="1:11" x14ac:dyDescent="0.2">
      <c r="A75">
        <v>74</v>
      </c>
      <c r="B75" t="s">
        <v>18</v>
      </c>
      <c r="C75" t="s">
        <v>138</v>
      </c>
      <c r="D75" s="8">
        <v>45030</v>
      </c>
      <c r="E75" s="3">
        <v>0.4375</v>
      </c>
      <c r="F75" t="s">
        <v>28</v>
      </c>
      <c r="G75" s="2">
        <v>5000</v>
      </c>
      <c r="H75" s="2">
        <v>454</v>
      </c>
      <c r="I75" s="2">
        <v>744</v>
      </c>
      <c r="J75" t="s">
        <v>140</v>
      </c>
      <c r="K75" s="5">
        <f t="shared" si="1"/>
        <v>5</v>
      </c>
    </row>
    <row r="76" spans="1:11" x14ac:dyDescent="0.2">
      <c r="A76">
        <v>75</v>
      </c>
      <c r="B76" t="s">
        <v>9</v>
      </c>
      <c r="C76" t="s">
        <v>138</v>
      </c>
      <c r="D76" s="8">
        <v>45133</v>
      </c>
      <c r="E76" s="3">
        <v>0.84375</v>
      </c>
      <c r="F76" t="s">
        <v>43</v>
      </c>
      <c r="G76" s="2">
        <v>5000</v>
      </c>
      <c r="H76" s="2">
        <v>500</v>
      </c>
      <c r="I76" s="2">
        <v>404</v>
      </c>
      <c r="J76" t="s">
        <v>140</v>
      </c>
      <c r="K76" s="5">
        <f t="shared" si="1"/>
        <v>5</v>
      </c>
    </row>
    <row r="77" spans="1:11" x14ac:dyDescent="0.2">
      <c r="A77">
        <v>76</v>
      </c>
      <c r="B77" t="s">
        <v>18</v>
      </c>
      <c r="C77" t="s">
        <v>139</v>
      </c>
      <c r="D77" s="8">
        <v>45134</v>
      </c>
      <c r="E77" s="3">
        <v>0.80208333333333337</v>
      </c>
      <c r="F77" t="s">
        <v>12</v>
      </c>
      <c r="G77" s="2">
        <v>2153</v>
      </c>
      <c r="H77" s="2">
        <v>81</v>
      </c>
      <c r="I77" s="2">
        <v>114</v>
      </c>
      <c r="J77" t="s">
        <v>141</v>
      </c>
      <c r="K77" s="5">
        <f t="shared" si="1"/>
        <v>3</v>
      </c>
    </row>
    <row r="78" spans="1:11" x14ac:dyDescent="0.2">
      <c r="A78">
        <v>77</v>
      </c>
      <c r="B78" t="s">
        <v>23</v>
      </c>
      <c r="C78" t="s">
        <v>136</v>
      </c>
      <c r="D78" s="8">
        <v>45112</v>
      </c>
      <c r="E78" s="3">
        <v>0.76041666666666663</v>
      </c>
      <c r="F78" t="s">
        <v>43</v>
      </c>
      <c r="G78" s="2">
        <v>3571</v>
      </c>
      <c r="H78" s="2">
        <v>102</v>
      </c>
      <c r="I78" s="2">
        <v>96</v>
      </c>
      <c r="J78" t="s">
        <v>140</v>
      </c>
      <c r="K78" s="5">
        <f t="shared" si="1"/>
        <v>5</v>
      </c>
    </row>
    <row r="79" spans="1:11" x14ac:dyDescent="0.2">
      <c r="A79">
        <v>78</v>
      </c>
      <c r="B79" t="s">
        <v>18</v>
      </c>
      <c r="C79" t="s">
        <v>137</v>
      </c>
      <c r="D79" s="8">
        <v>44945</v>
      </c>
      <c r="E79" s="3">
        <v>0.30208333333333331</v>
      </c>
      <c r="F79" t="s">
        <v>12</v>
      </c>
      <c r="G79" s="2">
        <v>2990</v>
      </c>
      <c r="H79" s="2">
        <v>30</v>
      </c>
      <c r="I79" s="2">
        <v>365</v>
      </c>
      <c r="J79" t="s">
        <v>140</v>
      </c>
      <c r="K79" s="5">
        <f t="shared" si="1"/>
        <v>5</v>
      </c>
    </row>
    <row r="80" spans="1:11" x14ac:dyDescent="0.2">
      <c r="A80">
        <v>79</v>
      </c>
      <c r="B80" t="s">
        <v>18</v>
      </c>
      <c r="C80" t="s">
        <v>136</v>
      </c>
      <c r="D80" s="8">
        <v>45273</v>
      </c>
      <c r="E80" s="3">
        <v>0.19791666666666666</v>
      </c>
      <c r="F80" t="s">
        <v>43</v>
      </c>
      <c r="G80" s="2">
        <v>4678</v>
      </c>
      <c r="H80" s="2">
        <v>189</v>
      </c>
      <c r="I80" s="2">
        <v>785</v>
      </c>
      <c r="J80" t="s">
        <v>140</v>
      </c>
      <c r="K80" s="5">
        <f t="shared" si="1"/>
        <v>5</v>
      </c>
    </row>
    <row r="81" spans="1:11" x14ac:dyDescent="0.2">
      <c r="A81">
        <v>80</v>
      </c>
      <c r="B81" t="s">
        <v>9</v>
      </c>
      <c r="C81" t="s">
        <v>139</v>
      </c>
      <c r="D81" s="8">
        <v>45102</v>
      </c>
      <c r="E81" s="3">
        <v>0.63541666666666663</v>
      </c>
      <c r="F81" t="s">
        <v>16</v>
      </c>
      <c r="G81" s="2">
        <v>553</v>
      </c>
      <c r="H81" s="2">
        <v>320</v>
      </c>
      <c r="I81" s="2">
        <v>312</v>
      </c>
      <c r="J81" t="s">
        <v>140</v>
      </c>
      <c r="K81" s="5">
        <f t="shared" si="1"/>
        <v>5</v>
      </c>
    </row>
    <row r="82" spans="1:11" x14ac:dyDescent="0.2">
      <c r="A82">
        <v>81</v>
      </c>
      <c r="B82" t="s">
        <v>9</v>
      </c>
      <c r="C82" t="s">
        <v>138</v>
      </c>
      <c r="D82" s="8">
        <v>44930</v>
      </c>
      <c r="E82" s="3">
        <v>0.77083333333333337</v>
      </c>
      <c r="F82" t="s">
        <v>43</v>
      </c>
      <c r="G82" s="2">
        <v>2642</v>
      </c>
      <c r="H82" s="2">
        <v>33</v>
      </c>
      <c r="I82" s="2">
        <v>413</v>
      </c>
      <c r="J82" t="s">
        <v>141</v>
      </c>
      <c r="K82" s="5">
        <f t="shared" si="1"/>
        <v>3</v>
      </c>
    </row>
    <row r="83" spans="1:11" x14ac:dyDescent="0.2">
      <c r="A83">
        <v>82</v>
      </c>
      <c r="B83" t="s">
        <v>18</v>
      </c>
      <c r="C83" t="s">
        <v>136</v>
      </c>
      <c r="D83" s="8">
        <v>45249</v>
      </c>
      <c r="E83" s="3">
        <v>0.52083333333333337</v>
      </c>
      <c r="F83" t="s">
        <v>16</v>
      </c>
      <c r="G83" s="2">
        <v>4656</v>
      </c>
      <c r="H83" s="2">
        <v>314</v>
      </c>
      <c r="I83" s="2">
        <v>757</v>
      </c>
      <c r="J83" t="s">
        <v>142</v>
      </c>
      <c r="K83" s="5">
        <f t="shared" si="1"/>
        <v>1</v>
      </c>
    </row>
    <row r="84" spans="1:11" x14ac:dyDescent="0.2">
      <c r="A84">
        <v>83</v>
      </c>
      <c r="B84" t="s">
        <v>18</v>
      </c>
      <c r="C84" t="s">
        <v>138</v>
      </c>
      <c r="D84" s="8">
        <v>45266</v>
      </c>
      <c r="E84" s="3">
        <v>0.16666666666666666</v>
      </c>
      <c r="F84" t="s">
        <v>43</v>
      </c>
      <c r="G84" s="2">
        <v>5000</v>
      </c>
      <c r="H84" s="2">
        <v>173</v>
      </c>
      <c r="I84" s="2">
        <v>792</v>
      </c>
      <c r="J84" t="s">
        <v>142</v>
      </c>
      <c r="K84" s="5">
        <f t="shared" si="1"/>
        <v>1</v>
      </c>
    </row>
    <row r="85" spans="1:11" x14ac:dyDescent="0.2">
      <c r="A85">
        <v>84</v>
      </c>
      <c r="B85" t="s">
        <v>9</v>
      </c>
      <c r="C85" t="s">
        <v>136</v>
      </c>
      <c r="D85" s="8">
        <v>45202</v>
      </c>
      <c r="E85" s="3">
        <v>0.79166666666666663</v>
      </c>
      <c r="F85" t="s">
        <v>21</v>
      </c>
      <c r="G85" s="2">
        <v>1203</v>
      </c>
      <c r="H85" s="2">
        <v>263</v>
      </c>
      <c r="I85" s="2">
        <v>417</v>
      </c>
      <c r="J85" t="s">
        <v>142</v>
      </c>
      <c r="K85" s="5">
        <f t="shared" si="1"/>
        <v>1</v>
      </c>
    </row>
    <row r="86" spans="1:11" x14ac:dyDescent="0.2">
      <c r="A86">
        <v>85</v>
      </c>
      <c r="B86" t="s">
        <v>9</v>
      </c>
      <c r="C86" t="s">
        <v>139</v>
      </c>
      <c r="D86" s="8">
        <v>45113</v>
      </c>
      <c r="E86" s="3">
        <v>0.29166666666666669</v>
      </c>
      <c r="F86" t="s">
        <v>12</v>
      </c>
      <c r="G86" s="2">
        <v>2566</v>
      </c>
      <c r="H86" s="2">
        <v>368</v>
      </c>
      <c r="I86" s="2">
        <v>304</v>
      </c>
      <c r="J86" t="s">
        <v>141</v>
      </c>
      <c r="K86" s="5">
        <f t="shared" si="1"/>
        <v>3</v>
      </c>
    </row>
    <row r="87" spans="1:11" x14ac:dyDescent="0.2">
      <c r="A87">
        <v>86</v>
      </c>
      <c r="B87" t="s">
        <v>23</v>
      </c>
      <c r="C87" t="s">
        <v>139</v>
      </c>
      <c r="D87" s="8">
        <v>45255</v>
      </c>
      <c r="E87" s="3">
        <v>0.3125</v>
      </c>
      <c r="F87" t="s">
        <v>32</v>
      </c>
      <c r="G87" s="2">
        <v>2416</v>
      </c>
      <c r="H87" s="2">
        <v>50</v>
      </c>
      <c r="I87" s="2">
        <v>62</v>
      </c>
      <c r="J87" t="s">
        <v>140</v>
      </c>
      <c r="K87" s="5">
        <f t="shared" si="1"/>
        <v>5</v>
      </c>
    </row>
    <row r="88" spans="1:11" x14ac:dyDescent="0.2">
      <c r="A88">
        <v>87</v>
      </c>
      <c r="B88" t="s">
        <v>18</v>
      </c>
      <c r="C88" t="s">
        <v>139</v>
      </c>
      <c r="D88" s="8">
        <v>45069</v>
      </c>
      <c r="E88" s="3">
        <v>0.9375</v>
      </c>
      <c r="F88" t="s">
        <v>21</v>
      </c>
      <c r="G88" s="2">
        <v>15</v>
      </c>
      <c r="H88" s="2">
        <v>70</v>
      </c>
      <c r="I88" s="2">
        <v>454</v>
      </c>
      <c r="J88" t="s">
        <v>141</v>
      </c>
      <c r="K88" s="5">
        <f t="shared" si="1"/>
        <v>3</v>
      </c>
    </row>
    <row r="89" spans="1:11" x14ac:dyDescent="0.2">
      <c r="A89">
        <v>88</v>
      </c>
      <c r="B89" t="s">
        <v>9</v>
      </c>
      <c r="C89" t="s">
        <v>139</v>
      </c>
      <c r="D89" s="8">
        <v>45049</v>
      </c>
      <c r="E89" s="3">
        <v>0.52083333333333337</v>
      </c>
      <c r="F89" t="s">
        <v>43</v>
      </c>
      <c r="G89" s="2">
        <v>3404</v>
      </c>
      <c r="H89" s="2">
        <v>244</v>
      </c>
      <c r="I89" s="2">
        <v>67</v>
      </c>
      <c r="J89" t="s">
        <v>140</v>
      </c>
      <c r="K89" s="5">
        <f t="shared" si="1"/>
        <v>5</v>
      </c>
    </row>
    <row r="90" spans="1:11" x14ac:dyDescent="0.2">
      <c r="A90">
        <v>89</v>
      </c>
      <c r="B90" t="s">
        <v>23</v>
      </c>
      <c r="C90" t="s">
        <v>136</v>
      </c>
      <c r="D90" s="8">
        <v>45049</v>
      </c>
      <c r="E90" s="3">
        <v>0.33333333333333331</v>
      </c>
      <c r="F90" t="s">
        <v>43</v>
      </c>
      <c r="G90" s="2">
        <v>2884</v>
      </c>
      <c r="H90" s="2">
        <v>197</v>
      </c>
      <c r="I90" s="2">
        <v>339</v>
      </c>
      <c r="J90" t="s">
        <v>140</v>
      </c>
      <c r="K90" s="5">
        <f t="shared" si="1"/>
        <v>5</v>
      </c>
    </row>
    <row r="91" spans="1:11" x14ac:dyDescent="0.2">
      <c r="A91">
        <v>90</v>
      </c>
      <c r="B91" t="s">
        <v>18</v>
      </c>
      <c r="C91" t="s">
        <v>137</v>
      </c>
      <c r="D91" s="8">
        <v>45004</v>
      </c>
      <c r="E91" s="3">
        <v>0.16666666666666666</v>
      </c>
      <c r="F91" t="s">
        <v>16</v>
      </c>
      <c r="G91" s="2">
        <v>3195</v>
      </c>
      <c r="H91" s="2">
        <v>109</v>
      </c>
      <c r="I91" s="2">
        <v>243</v>
      </c>
      <c r="J91" t="s">
        <v>142</v>
      </c>
      <c r="K91" s="5">
        <f t="shared" si="1"/>
        <v>1</v>
      </c>
    </row>
    <row r="92" spans="1:11" x14ac:dyDescent="0.2">
      <c r="A92">
        <v>91</v>
      </c>
      <c r="B92" t="s">
        <v>9</v>
      </c>
      <c r="C92" t="s">
        <v>136</v>
      </c>
      <c r="D92" s="8">
        <v>45184</v>
      </c>
      <c r="E92" s="3">
        <v>3.125E-2</v>
      </c>
      <c r="F92" t="s">
        <v>28</v>
      </c>
      <c r="G92" s="2">
        <v>3956</v>
      </c>
      <c r="H92" s="2">
        <v>402</v>
      </c>
      <c r="I92" s="2">
        <v>462</v>
      </c>
      <c r="J92" t="s">
        <v>142</v>
      </c>
      <c r="K92" s="5">
        <f t="shared" si="1"/>
        <v>1</v>
      </c>
    </row>
    <row r="93" spans="1:11" x14ac:dyDescent="0.2">
      <c r="A93">
        <v>92</v>
      </c>
      <c r="B93" t="s">
        <v>9</v>
      </c>
      <c r="C93" t="s">
        <v>138</v>
      </c>
      <c r="D93" s="8">
        <v>44980</v>
      </c>
      <c r="E93" s="3">
        <v>0.71875</v>
      </c>
      <c r="F93" t="s">
        <v>12</v>
      </c>
      <c r="G93" s="2">
        <v>1857</v>
      </c>
      <c r="H93" s="2">
        <v>216</v>
      </c>
      <c r="I93" s="2">
        <v>344</v>
      </c>
      <c r="J93" t="s">
        <v>140</v>
      </c>
      <c r="K93" s="5">
        <f t="shared" si="1"/>
        <v>5</v>
      </c>
    </row>
    <row r="94" spans="1:11" x14ac:dyDescent="0.2">
      <c r="A94">
        <v>93</v>
      </c>
      <c r="B94" t="s">
        <v>18</v>
      </c>
      <c r="C94" t="s">
        <v>136</v>
      </c>
      <c r="D94" s="8">
        <v>45053</v>
      </c>
      <c r="E94" s="3">
        <v>2.0833333333333332E-2</v>
      </c>
      <c r="F94" t="s">
        <v>16</v>
      </c>
      <c r="G94" s="2">
        <v>951</v>
      </c>
      <c r="H94" s="2">
        <v>432</v>
      </c>
      <c r="I94" s="2">
        <v>734</v>
      </c>
      <c r="J94" t="s">
        <v>142</v>
      </c>
      <c r="K94" s="5">
        <f t="shared" si="1"/>
        <v>1</v>
      </c>
    </row>
    <row r="95" spans="1:11" x14ac:dyDescent="0.2">
      <c r="A95">
        <v>94</v>
      </c>
      <c r="B95" t="s">
        <v>9</v>
      </c>
      <c r="C95" t="s">
        <v>135</v>
      </c>
      <c r="D95" s="8">
        <v>45257</v>
      </c>
      <c r="E95" s="3">
        <v>0.1875</v>
      </c>
      <c r="F95" t="s">
        <v>40</v>
      </c>
      <c r="G95" s="2">
        <v>1694</v>
      </c>
      <c r="H95" s="2">
        <v>207</v>
      </c>
      <c r="I95" s="2">
        <v>290</v>
      </c>
      <c r="J95" t="s">
        <v>140</v>
      </c>
      <c r="K95" s="5">
        <f t="shared" si="1"/>
        <v>5</v>
      </c>
    </row>
    <row r="96" spans="1:11" x14ac:dyDescent="0.2">
      <c r="A96">
        <v>95</v>
      </c>
      <c r="B96" t="s">
        <v>18</v>
      </c>
      <c r="C96" t="s">
        <v>137</v>
      </c>
      <c r="D96" s="8">
        <v>44992</v>
      </c>
      <c r="E96" s="3">
        <v>0.80208333333333337</v>
      </c>
      <c r="F96" t="s">
        <v>21</v>
      </c>
      <c r="G96" s="2">
        <v>3005</v>
      </c>
      <c r="H96" s="2">
        <v>124</v>
      </c>
      <c r="I96" s="2">
        <v>517</v>
      </c>
      <c r="J96" t="s">
        <v>140</v>
      </c>
      <c r="K96" s="5">
        <f t="shared" si="1"/>
        <v>5</v>
      </c>
    </row>
    <row r="97" spans="1:11" x14ac:dyDescent="0.2">
      <c r="A97">
        <v>96</v>
      </c>
      <c r="B97" t="s">
        <v>18</v>
      </c>
      <c r="C97" t="s">
        <v>136</v>
      </c>
      <c r="D97" s="8">
        <v>45119</v>
      </c>
      <c r="E97" s="3">
        <v>0.73958333333333337</v>
      </c>
      <c r="F97" t="s">
        <v>43</v>
      </c>
      <c r="G97" s="2">
        <v>36</v>
      </c>
      <c r="H97" s="2">
        <v>294</v>
      </c>
      <c r="I97" s="2">
        <v>911</v>
      </c>
      <c r="J97" t="s">
        <v>140</v>
      </c>
      <c r="K97" s="5">
        <f t="shared" si="1"/>
        <v>5</v>
      </c>
    </row>
    <row r="98" spans="1:11" x14ac:dyDescent="0.2">
      <c r="A98">
        <v>97</v>
      </c>
      <c r="B98" t="s">
        <v>23</v>
      </c>
      <c r="C98" t="s">
        <v>138</v>
      </c>
      <c r="D98" s="8">
        <v>45226</v>
      </c>
      <c r="E98" s="3">
        <v>0.98958333333333337</v>
      </c>
      <c r="F98" t="s">
        <v>28</v>
      </c>
      <c r="G98" s="2">
        <v>314</v>
      </c>
      <c r="H98" s="2">
        <v>108</v>
      </c>
      <c r="I98" s="2">
        <v>458</v>
      </c>
      <c r="J98" t="s">
        <v>141</v>
      </c>
      <c r="K98" s="5">
        <f t="shared" si="1"/>
        <v>3</v>
      </c>
    </row>
    <row r="99" spans="1:11" x14ac:dyDescent="0.2">
      <c r="A99">
        <v>98</v>
      </c>
      <c r="B99" t="s">
        <v>23</v>
      </c>
      <c r="C99" t="s">
        <v>139</v>
      </c>
      <c r="D99" s="8">
        <v>45143</v>
      </c>
      <c r="E99" s="3">
        <v>0.36458333333333331</v>
      </c>
      <c r="F99" t="s">
        <v>32</v>
      </c>
      <c r="G99" s="2">
        <v>229</v>
      </c>
      <c r="H99" s="2">
        <v>179</v>
      </c>
      <c r="I99" s="2">
        <v>38</v>
      </c>
      <c r="J99" t="s">
        <v>140</v>
      </c>
      <c r="K99" s="5">
        <f t="shared" si="1"/>
        <v>5</v>
      </c>
    </row>
    <row r="100" spans="1:11" x14ac:dyDescent="0.2">
      <c r="A100">
        <v>99</v>
      </c>
      <c r="B100" t="s">
        <v>18</v>
      </c>
      <c r="C100" t="s">
        <v>137</v>
      </c>
      <c r="D100" s="8">
        <v>45289</v>
      </c>
      <c r="E100" s="3">
        <v>0.51041666666666663</v>
      </c>
      <c r="F100" t="s">
        <v>28</v>
      </c>
      <c r="G100" s="2">
        <v>5000</v>
      </c>
      <c r="H100" s="2">
        <v>500</v>
      </c>
      <c r="I100" s="2">
        <v>204</v>
      </c>
      <c r="J100" t="s">
        <v>140</v>
      </c>
      <c r="K100" s="5">
        <f t="shared" si="1"/>
        <v>5</v>
      </c>
    </row>
    <row r="101" spans="1:11" x14ac:dyDescent="0.2">
      <c r="A101">
        <v>100</v>
      </c>
      <c r="B101" t="s">
        <v>18</v>
      </c>
      <c r="C101" t="s">
        <v>135</v>
      </c>
      <c r="D101" s="8">
        <v>45083</v>
      </c>
      <c r="E101" s="3">
        <v>0.875</v>
      </c>
      <c r="F101" t="s">
        <v>21</v>
      </c>
      <c r="G101" s="2">
        <v>4483</v>
      </c>
      <c r="H101" s="2">
        <v>357</v>
      </c>
      <c r="I101" s="2">
        <v>25</v>
      </c>
      <c r="J101" t="s">
        <v>141</v>
      </c>
      <c r="K101" s="5">
        <f t="shared" si="1"/>
        <v>3</v>
      </c>
    </row>
  </sheetData>
  <autoFilter ref="A1:K101"/>
  <conditionalFormatting sqref="B1:B1048576">
    <cfRule type="containsText" dxfId="27" priority="2" operator="containsText" text="Twitter">
      <formula>NOT(ISERROR(SEARCH("Twitter",B1)))</formula>
    </cfRule>
    <cfRule type="containsText" dxfId="26" priority="3" operator="containsText" text="Instagram">
      <formula>NOT(ISERROR(SEARCH("Instagram",B1)))</formula>
    </cfRule>
    <cfRule type="containsText" dxfId="25" priority="4" operator="containsText" text="Facebook">
      <formula>NOT(ISERROR(SEARCH("Facebook",B1)))</formula>
    </cfRule>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iconSet" priority="1" id="{126D64C5-602C-44B4-8334-291224CBFC66}">
            <x14:iconSet iconSet="3Stars" showValue="0">
              <x14:cfvo type="percent">
                <xm:f>0</xm:f>
              </x14:cfvo>
              <x14:cfvo type="num">
                <xm:f>3</xm:f>
              </x14:cfvo>
              <x14:cfvo type="num">
                <xm:f>5</xm:f>
              </x14:cfvo>
            </x14:iconSet>
          </x14:cfRule>
          <xm:sqref>K1:K1048576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N22"/>
  <sheetViews>
    <sheetView workbookViewId="0">
      <selection activeCell="A20" sqref="A20"/>
    </sheetView>
  </sheetViews>
  <sheetFormatPr defaultRowHeight="12.75" x14ac:dyDescent="0.2"/>
  <cols>
    <col min="1" max="1" width="27.140625" customWidth="1"/>
    <col min="2" max="2" width="17" customWidth="1"/>
    <col min="3" max="3" width="17.7109375" customWidth="1"/>
    <col min="4" max="4" width="17.28515625" customWidth="1"/>
    <col min="5" max="5" width="8.140625" customWidth="1"/>
    <col min="6" max="6" width="13.28515625" customWidth="1"/>
    <col min="7" max="7" width="11.7109375" customWidth="1"/>
    <col min="8" max="8" width="9" customWidth="1"/>
    <col min="9" max="9" width="9.7109375" customWidth="1"/>
    <col min="10" max="10" width="9.140625" customWidth="1"/>
    <col min="11" max="11" width="7.85546875" customWidth="1"/>
    <col min="12" max="12" width="7.5703125" customWidth="1"/>
    <col min="13" max="13" width="8" customWidth="1"/>
    <col min="14" max="14" width="11.7109375" customWidth="1"/>
    <col min="15" max="22" width="5" customWidth="1"/>
    <col min="23" max="23" width="4" customWidth="1"/>
    <col min="24" max="25" width="5" customWidth="1"/>
    <col min="26" max="26" width="14.42578125" bestFit="1" customWidth="1"/>
    <col min="27" max="37" width="5" customWidth="1"/>
    <col min="38" max="38" width="18.140625" bestFit="1" customWidth="1"/>
    <col min="39" max="39" width="23.140625" bestFit="1" customWidth="1"/>
    <col min="40" max="40" width="19.7109375" bestFit="1" customWidth="1"/>
  </cols>
  <sheetData>
    <row r="2" spans="1:14" x14ac:dyDescent="0.2">
      <c r="A2" s="9" t="s">
        <v>162</v>
      </c>
      <c r="B2" s="9" t="s">
        <v>148</v>
      </c>
      <c r="C2" s="10"/>
      <c r="D2" s="10"/>
      <c r="E2" s="10"/>
      <c r="F2" s="10"/>
      <c r="G2" s="10"/>
      <c r="H2" s="10"/>
      <c r="I2" s="10"/>
      <c r="J2" s="10"/>
      <c r="K2" s="10"/>
      <c r="L2" s="10"/>
      <c r="M2" s="10"/>
      <c r="N2" s="10"/>
    </row>
    <row r="3" spans="1:14" x14ac:dyDescent="0.2">
      <c r="A3" s="9" t="s">
        <v>144</v>
      </c>
      <c r="B3" s="13" t="s">
        <v>150</v>
      </c>
      <c r="C3" s="13" t="s">
        <v>151</v>
      </c>
      <c r="D3" s="13" t="s">
        <v>152</v>
      </c>
      <c r="E3" s="13" t="s">
        <v>153</v>
      </c>
      <c r="F3" s="13" t="s">
        <v>154</v>
      </c>
      <c r="G3" s="13" t="s">
        <v>155</v>
      </c>
      <c r="H3" s="13" t="s">
        <v>156</v>
      </c>
      <c r="I3" s="13" t="s">
        <v>157</v>
      </c>
      <c r="J3" s="13" t="s">
        <v>158</v>
      </c>
      <c r="K3" s="13" t="s">
        <v>159</v>
      </c>
      <c r="L3" s="13" t="s">
        <v>160</v>
      </c>
      <c r="M3" s="13" t="s">
        <v>161</v>
      </c>
      <c r="N3" s="13" t="s">
        <v>147</v>
      </c>
    </row>
    <row r="4" spans="1:14" x14ac:dyDescent="0.2">
      <c r="A4" s="11" t="s">
        <v>9</v>
      </c>
      <c r="B4" s="12">
        <v>6</v>
      </c>
      <c r="C4" s="12">
        <v>3</v>
      </c>
      <c r="D4" s="12">
        <v>2</v>
      </c>
      <c r="E4" s="12">
        <v>2</v>
      </c>
      <c r="F4" s="12">
        <v>5</v>
      </c>
      <c r="G4" s="12">
        <v>2</v>
      </c>
      <c r="H4" s="12">
        <v>3</v>
      </c>
      <c r="I4" s="12">
        <v>2</v>
      </c>
      <c r="J4" s="12">
        <v>2</v>
      </c>
      <c r="K4" s="12">
        <v>2</v>
      </c>
      <c r="L4" s="12">
        <v>2</v>
      </c>
      <c r="M4" s="12">
        <v>1</v>
      </c>
      <c r="N4" s="12">
        <v>32</v>
      </c>
    </row>
    <row r="5" spans="1:14" x14ac:dyDescent="0.2">
      <c r="A5" s="11" t="s">
        <v>18</v>
      </c>
      <c r="B5" s="12">
        <v>3</v>
      </c>
      <c r="C5" s="12">
        <v>2</v>
      </c>
      <c r="D5" s="12">
        <v>3</v>
      </c>
      <c r="E5" s="12">
        <v>3</v>
      </c>
      <c r="F5" s="12">
        <v>5</v>
      </c>
      <c r="G5" s="12">
        <v>2</v>
      </c>
      <c r="H5" s="12">
        <v>7</v>
      </c>
      <c r="I5" s="12">
        <v>1</v>
      </c>
      <c r="J5" s="12">
        <v>1</v>
      </c>
      <c r="K5" s="12">
        <v>2</v>
      </c>
      <c r="L5" s="12">
        <v>2</v>
      </c>
      <c r="M5" s="12">
        <v>5</v>
      </c>
      <c r="N5" s="12">
        <v>36</v>
      </c>
    </row>
    <row r="6" spans="1:14" x14ac:dyDescent="0.2">
      <c r="A6" s="11" t="s">
        <v>23</v>
      </c>
      <c r="B6" s="12">
        <v>1</v>
      </c>
      <c r="C6" s="12">
        <v>3</v>
      </c>
      <c r="D6" s="12">
        <v>1</v>
      </c>
      <c r="E6" s="12">
        <v>1</v>
      </c>
      <c r="F6" s="12">
        <v>7</v>
      </c>
      <c r="G6" s="12">
        <v>1</v>
      </c>
      <c r="H6" s="12">
        <v>3</v>
      </c>
      <c r="I6" s="12">
        <v>1</v>
      </c>
      <c r="J6" s="12">
        <v>2</v>
      </c>
      <c r="K6" s="12">
        <v>4</v>
      </c>
      <c r="L6" s="12">
        <v>4</v>
      </c>
      <c r="M6" s="12">
        <v>4</v>
      </c>
      <c r="N6" s="12">
        <v>32</v>
      </c>
    </row>
    <row r="8" spans="1:14" x14ac:dyDescent="0.2">
      <c r="A8" s="9" t="s">
        <v>163</v>
      </c>
      <c r="B8" s="9" t="s">
        <v>148</v>
      </c>
      <c r="C8" s="10"/>
      <c r="D8" s="10"/>
      <c r="E8" s="10"/>
      <c r="F8" s="10"/>
      <c r="G8" s="10"/>
    </row>
    <row r="9" spans="1:14" x14ac:dyDescent="0.2">
      <c r="A9" s="9" t="s">
        <v>144</v>
      </c>
      <c r="B9" s="10" t="s">
        <v>136</v>
      </c>
      <c r="C9" s="10" t="s">
        <v>135</v>
      </c>
      <c r="D9" s="10" t="s">
        <v>137</v>
      </c>
      <c r="E9" s="10" t="s">
        <v>139</v>
      </c>
      <c r="F9" s="10" t="s">
        <v>138</v>
      </c>
      <c r="G9" s="10" t="s">
        <v>147</v>
      </c>
    </row>
    <row r="10" spans="1:14" x14ac:dyDescent="0.2">
      <c r="A10" s="11" t="s">
        <v>9</v>
      </c>
      <c r="B10" s="12">
        <v>10</v>
      </c>
      <c r="C10" s="12">
        <v>4</v>
      </c>
      <c r="D10" s="12">
        <v>3</v>
      </c>
      <c r="E10" s="12">
        <v>6</v>
      </c>
      <c r="F10" s="12">
        <v>9</v>
      </c>
      <c r="G10" s="12">
        <v>32</v>
      </c>
    </row>
    <row r="11" spans="1:14" x14ac:dyDescent="0.2">
      <c r="A11" s="11" t="s">
        <v>18</v>
      </c>
      <c r="B11" s="12">
        <v>9</v>
      </c>
      <c r="C11" s="12">
        <v>7</v>
      </c>
      <c r="D11" s="12">
        <v>6</v>
      </c>
      <c r="E11" s="12">
        <v>7</v>
      </c>
      <c r="F11" s="12">
        <v>7</v>
      </c>
      <c r="G11" s="12">
        <v>36</v>
      </c>
    </row>
    <row r="12" spans="1:14" x14ac:dyDescent="0.2">
      <c r="A12" s="11" t="s">
        <v>23</v>
      </c>
      <c r="B12" s="12">
        <v>7</v>
      </c>
      <c r="C12" s="12">
        <v>6</v>
      </c>
      <c r="D12" s="12">
        <v>4</v>
      </c>
      <c r="E12" s="12">
        <v>8</v>
      </c>
      <c r="F12" s="12">
        <v>7</v>
      </c>
      <c r="G12" s="12">
        <v>32</v>
      </c>
    </row>
    <row r="14" spans="1:14" x14ac:dyDescent="0.2">
      <c r="A14" s="9" t="s">
        <v>144</v>
      </c>
      <c r="B14" s="10" t="s">
        <v>166</v>
      </c>
      <c r="C14" s="10" t="s">
        <v>145</v>
      </c>
      <c r="D14" s="10" t="s">
        <v>146</v>
      </c>
    </row>
    <row r="15" spans="1:14" x14ac:dyDescent="0.2">
      <c r="A15" s="11" t="s">
        <v>9</v>
      </c>
      <c r="B15" s="12">
        <v>86392</v>
      </c>
      <c r="C15" s="12">
        <v>7965</v>
      </c>
      <c r="D15" s="12">
        <v>15180</v>
      </c>
    </row>
    <row r="16" spans="1:14" x14ac:dyDescent="0.2">
      <c r="A16" s="11" t="s">
        <v>18</v>
      </c>
      <c r="B16" s="12">
        <v>107994</v>
      </c>
      <c r="C16" s="12">
        <v>8368</v>
      </c>
      <c r="D16" s="12">
        <v>18906</v>
      </c>
    </row>
    <row r="17" spans="1:4" x14ac:dyDescent="0.2">
      <c r="A17" s="11" t="s">
        <v>23</v>
      </c>
      <c r="B17" s="12">
        <v>43795</v>
      </c>
      <c r="C17" s="12">
        <v>3933</v>
      </c>
      <c r="D17" s="12">
        <v>7479</v>
      </c>
    </row>
    <row r="19" spans="1:4" x14ac:dyDescent="0.2">
      <c r="A19" s="14" t="s">
        <v>144</v>
      </c>
      <c r="B19" s="15" t="s">
        <v>164</v>
      </c>
      <c r="C19" s="15" t="s">
        <v>165</v>
      </c>
      <c r="D19" s="15" t="s">
        <v>167</v>
      </c>
    </row>
    <row r="20" spans="1:4" x14ac:dyDescent="0.2">
      <c r="A20" s="16" t="s">
        <v>9</v>
      </c>
      <c r="B20" s="15">
        <v>2699.75</v>
      </c>
      <c r="C20" s="15">
        <v>248.90625</v>
      </c>
      <c r="D20" s="15">
        <v>474.375</v>
      </c>
    </row>
    <row r="21" spans="1:4" x14ac:dyDescent="0.2">
      <c r="A21" s="16" t="s">
        <v>18</v>
      </c>
      <c r="B21" s="15">
        <v>2999.8333333333335</v>
      </c>
      <c r="C21" s="15">
        <v>232.44444444444446</v>
      </c>
      <c r="D21" s="15">
        <v>525.16666666666663</v>
      </c>
    </row>
    <row r="22" spans="1:4" x14ac:dyDescent="0.2">
      <c r="A22" s="16" t="s">
        <v>23</v>
      </c>
      <c r="B22" s="15">
        <v>1368.59375</v>
      </c>
      <c r="C22" s="15">
        <v>122.90625</v>
      </c>
      <c r="D22" s="15">
        <v>233.71875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workbookViewId="0">
      <selection activeCell="C2" sqref="C2"/>
    </sheetView>
  </sheetViews>
  <sheetFormatPr defaultRowHeight="12.75" x14ac:dyDescent="0.2"/>
  <cols>
    <col min="1" max="16384" width="9.140625" style="1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social_media_engagement1</vt:lpstr>
      <vt:lpstr>Worksheet</vt:lpstr>
      <vt:lpstr>Pivot Table</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Tiyani Mbhalati</dc:creator>
  <dc:description/>
  <cp:lastModifiedBy>Tiyani Mbhalati</cp:lastModifiedBy>
  <cp:revision>0</cp:revision>
  <dcterms:created xsi:type="dcterms:W3CDTF">2025-09-23T07:59:18Z</dcterms:created>
  <dcterms:modified xsi:type="dcterms:W3CDTF">2025-09-23T12:46:45Z</dcterms:modified>
  <dc:language>en-US</dc:language>
</cp:coreProperties>
</file>